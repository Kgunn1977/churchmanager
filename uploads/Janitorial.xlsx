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gunn\Downloads\"/>
    </mc:Choice>
  </mc:AlternateContent>
  <xr:revisionPtr revIDLastSave="0" documentId="13_ncr:1_{3E50C99B-3DB3-4A8F-BE8C-7649F4EB1A27}" xr6:coauthVersionLast="47" xr6:coauthVersionMax="47" xr10:uidLastSave="{00000000-0000-0000-0000-000000000000}"/>
  <bookViews>
    <workbookView xWindow="18960" yWindow="-18048" windowWidth="15672" windowHeight="18144" xr2:uid="{00000000-000D-0000-FFFF-FFFF00000000}"/>
  </bookViews>
  <sheets>
    <sheet name="Weekly" sheetId="1" r:id="rId1"/>
    <sheet name="Rooms" sheetId="2" r:id="rId2"/>
    <sheet name="Tasks" sheetId="3" r:id="rId3"/>
    <sheet name="Supplies" sheetId="4" r:id="rId4"/>
    <sheet name="Todoist Out" sheetId="5" r:id="rId5"/>
    <sheet name="Todoist In" sheetId="6" r:id="rId6"/>
    <sheet name="Todoist Changes" sheetId="7" r:id="rId7"/>
    <sheet name="Worker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0wTOvuiAY+RZ+D5WSpr+Otukv2tBe1nilbkbC7hoBpk="/>
    </ext>
  </extLst>
</workbook>
</file>

<file path=xl/calcChain.xml><?xml version="1.0" encoding="utf-8"?>
<calcChain xmlns="http://schemas.openxmlformats.org/spreadsheetml/2006/main">
  <c r="L295" i="1" l="1"/>
  <c r="K295" i="1"/>
  <c r="J295" i="1"/>
  <c r="I295" i="1"/>
  <c r="H295" i="1"/>
  <c r="M295" i="1" s="1" a="1"/>
  <c r="M295" i="1" s="1"/>
  <c r="G295" i="1" a="1"/>
  <c r="G295" i="1" s="1"/>
  <c r="F295" i="1" a="1"/>
  <c r="F295" i="1" s="1"/>
  <c r="M294" i="1" a="1"/>
  <c r="M294" i="1" s="1"/>
  <c r="L294" i="1"/>
  <c r="K294" i="1"/>
  <c r="J294" i="1"/>
  <c r="I294" i="1"/>
  <c r="H294" i="1"/>
  <c r="G294" i="1" a="1"/>
  <c r="G294" i="1" s="1"/>
  <c r="F294" i="1" a="1"/>
  <c r="F294" i="1" s="1"/>
  <c r="L293" i="1"/>
  <c r="K293" i="1"/>
  <c r="J293" i="1"/>
  <c r="I293" i="1"/>
  <c r="H293" i="1"/>
  <c r="M293" i="1" s="1" a="1"/>
  <c r="M293" i="1" s="1"/>
  <c r="G293" i="1" a="1"/>
  <c r="G293" i="1" s="1"/>
  <c r="F293" i="1"/>
  <c r="F293" i="1" a="1"/>
  <c r="M292" i="1" a="1"/>
  <c r="M292" i="1" s="1"/>
  <c r="L292" i="1"/>
  <c r="K292" i="1"/>
  <c r="J292" i="1"/>
  <c r="I292" i="1"/>
  <c r="H292" i="1"/>
  <c r="G292" i="1" a="1"/>
  <c r="G292" i="1" s="1"/>
  <c r="F292" i="1" a="1"/>
  <c r="F292" i="1" s="1"/>
  <c r="M291" i="1"/>
  <c r="M291" i="1" a="1"/>
  <c r="L291" i="1"/>
  <c r="K291" i="1"/>
  <c r="J291" i="1"/>
  <c r="I291" i="1"/>
  <c r="H291" i="1"/>
  <c r="G291" i="1" a="1"/>
  <c r="G291" i="1" s="1"/>
  <c r="F291" i="1"/>
  <c r="F291" i="1" a="1"/>
  <c r="L290" i="1"/>
  <c r="K290" i="1"/>
  <c r="J290" i="1"/>
  <c r="I290" i="1"/>
  <c r="H290" i="1"/>
  <c r="M290" i="1" s="1" a="1"/>
  <c r="M290" i="1" s="1"/>
  <c r="G290" i="1" a="1"/>
  <c r="G290" i="1" s="1"/>
  <c r="F290" i="1"/>
  <c r="F290" i="1" a="1"/>
  <c r="L108" i="1"/>
  <c r="K108" i="1"/>
  <c r="J108" i="1"/>
  <c r="I108" i="1"/>
  <c r="H108" i="1"/>
  <c r="M108" i="1" s="1" a="1"/>
  <c r="M108" i="1" s="1"/>
  <c r="G108" i="1" a="1"/>
  <c r="G108" i="1" s="1"/>
  <c r="F108" i="1" a="1"/>
  <c r="F108" i="1" s="1"/>
  <c r="L107" i="1"/>
  <c r="K107" i="1"/>
  <c r="J107" i="1"/>
  <c r="I107" i="1"/>
  <c r="H107" i="1"/>
  <c r="M107" i="1" s="1" a="1"/>
  <c r="M107" i="1" s="1"/>
  <c r="G107" i="1" a="1"/>
  <c r="G107" i="1" s="1"/>
  <c r="F107" i="1" a="1"/>
  <c r="F107" i="1" s="1"/>
  <c r="L106" i="1"/>
  <c r="K106" i="1"/>
  <c r="J106" i="1"/>
  <c r="I106" i="1"/>
  <c r="H106" i="1"/>
  <c r="M106" i="1" s="1" a="1"/>
  <c r="M106" i="1" s="1"/>
  <c r="G106" i="1" a="1"/>
  <c r="G106" i="1" s="1"/>
  <c r="F106" i="1" a="1"/>
  <c r="F106" i="1" s="1"/>
  <c r="L105" i="1"/>
  <c r="K105" i="1"/>
  <c r="J105" i="1"/>
  <c r="I105" i="1"/>
  <c r="H105" i="1"/>
  <c r="M105" i="1" s="1" a="1"/>
  <c r="M105" i="1" s="1"/>
  <c r="G105" i="1" a="1"/>
  <c r="G105" i="1" s="1"/>
  <c r="F105" i="1" a="1"/>
  <c r="F105" i="1" s="1"/>
  <c r="L67" i="1"/>
  <c r="K67" i="1"/>
  <c r="J67" i="1"/>
  <c r="I67" i="1"/>
  <c r="H67" i="1"/>
  <c r="M67" i="1" s="1" a="1"/>
  <c r="M67" i="1" s="1"/>
  <c r="G67" i="1" a="1"/>
  <c r="G67" i="1" s="1"/>
  <c r="F67" i="1" a="1"/>
  <c r="F67" i="1" s="1"/>
  <c r="L66" i="1"/>
  <c r="K66" i="1"/>
  <c r="J66" i="1"/>
  <c r="I66" i="1"/>
  <c r="H66" i="1"/>
  <c r="M66" i="1" s="1" a="1"/>
  <c r="M66" i="1" s="1"/>
  <c r="G66" i="1" a="1"/>
  <c r="G66" i="1" s="1"/>
  <c r="F66" i="1" a="1"/>
  <c r="F66" i="1" s="1"/>
  <c r="L65" i="1"/>
  <c r="K65" i="1"/>
  <c r="J65" i="1"/>
  <c r="I65" i="1"/>
  <c r="H65" i="1"/>
  <c r="M65" i="1" s="1" a="1"/>
  <c r="M65" i="1" s="1"/>
  <c r="G65" i="1" a="1"/>
  <c r="G65" i="1" s="1"/>
  <c r="F65" i="1" a="1"/>
  <c r="F65" i="1" s="1"/>
  <c r="F63" i="1" a="1"/>
  <c r="F63" i="1" s="1"/>
  <c r="G63" i="1" a="1"/>
  <c r="G63" i="1" s="1"/>
  <c r="H63" i="1"/>
  <c r="I63" i="1"/>
  <c r="J63" i="1"/>
  <c r="K63" i="1"/>
  <c r="L63" i="1"/>
  <c r="M63" i="1" a="1"/>
  <c r="M63" i="1" s="1"/>
  <c r="F101" i="1" a="1"/>
  <c r="F101" i="1" s="1"/>
  <c r="G101" i="1" a="1"/>
  <c r="G101" i="1" s="1"/>
  <c r="H101" i="1"/>
  <c r="M101" i="1" s="1" a="1"/>
  <c r="M101" i="1" s="1"/>
  <c r="I101" i="1"/>
  <c r="J101" i="1"/>
  <c r="K101" i="1"/>
  <c r="L101" i="1"/>
  <c r="F102" i="1" a="1"/>
  <c r="F102" i="1" s="1"/>
  <c r="G102" i="1" a="1"/>
  <c r="G102" i="1" s="1"/>
  <c r="H102" i="1"/>
  <c r="I102" i="1"/>
  <c r="J102" i="1"/>
  <c r="K102" i="1"/>
  <c r="L102" i="1"/>
  <c r="M102" i="1" a="1"/>
  <c r="M102" i="1" s="1"/>
  <c r="L62" i="1"/>
  <c r="K62" i="1"/>
  <c r="J62" i="1"/>
  <c r="I62" i="1"/>
  <c r="H62" i="1"/>
  <c r="M62" i="1" s="1" a="1"/>
  <c r="M62" i="1" s="1"/>
  <c r="G62" i="1" a="1"/>
  <c r="G62" i="1" s="1"/>
  <c r="F62" i="1" a="1"/>
  <c r="F62" i="1" s="1"/>
  <c r="L61" i="1"/>
  <c r="K61" i="1"/>
  <c r="J61" i="1"/>
  <c r="I61" i="1"/>
  <c r="H61" i="1"/>
  <c r="M61" i="1" s="1" a="1"/>
  <c r="M61" i="1" s="1"/>
  <c r="G61" i="1" a="1"/>
  <c r="G61" i="1" s="1"/>
  <c r="F61" i="1" a="1"/>
  <c r="F61" i="1" s="1"/>
  <c r="F59" i="1" a="1"/>
  <c r="F59" i="1" s="1"/>
  <c r="G59" i="1" a="1"/>
  <c r="G59" i="1" s="1"/>
  <c r="H59" i="1"/>
  <c r="I59" i="1"/>
  <c r="J59" i="1"/>
  <c r="K59" i="1"/>
  <c r="L59" i="1"/>
  <c r="M59" i="1" a="1"/>
  <c r="M59" i="1" s="1"/>
  <c r="F104" i="1" a="1"/>
  <c r="F104" i="1" s="1"/>
  <c r="G104" i="1" a="1"/>
  <c r="G104" i="1" s="1"/>
  <c r="H104" i="1"/>
  <c r="M104" i="1" s="1" a="1"/>
  <c r="M104" i="1" s="1"/>
  <c r="I104" i="1"/>
  <c r="J104" i="1"/>
  <c r="K104" i="1"/>
  <c r="L104" i="1"/>
  <c r="F60" i="1" a="1"/>
  <c r="F60" i="1" s="1"/>
  <c r="G60" i="1" a="1"/>
  <c r="G60" i="1" s="1"/>
  <c r="H60" i="1"/>
  <c r="I60" i="1"/>
  <c r="J60" i="1"/>
  <c r="K60" i="1"/>
  <c r="L60" i="1"/>
  <c r="M60" i="1" a="1"/>
  <c r="M60" i="1" s="1"/>
  <c r="F103" i="1" a="1"/>
  <c r="F103" i="1" s="1"/>
  <c r="G103" i="1" a="1"/>
  <c r="G103" i="1" s="1"/>
  <c r="H103" i="1"/>
  <c r="M103" i="1" s="1" a="1"/>
  <c r="M103" i="1" s="1"/>
  <c r="I103" i="1"/>
  <c r="J103" i="1"/>
  <c r="K103" i="1"/>
  <c r="L103" i="1"/>
  <c r="F64" i="1" a="1"/>
  <c r="F64" i="1" s="1"/>
  <c r="G64" i="1" a="1"/>
  <c r="G64" i="1" s="1"/>
  <c r="H64" i="1"/>
  <c r="M64" i="1" s="1" a="1"/>
  <c r="M64" i="1" s="1"/>
  <c r="I64" i="1"/>
  <c r="J64" i="1"/>
  <c r="K64" i="1"/>
  <c r="L64" i="1"/>
  <c r="A1" i="7"/>
  <c r="H296" i="5"/>
  <c r="B296" i="5"/>
  <c r="H295" i="5"/>
  <c r="B295" i="5"/>
  <c r="H294" i="5"/>
  <c r="B294" i="5"/>
  <c r="H293" i="5"/>
  <c r="B293" i="5"/>
  <c r="H292" i="5"/>
  <c r="B292" i="5"/>
  <c r="H291" i="5"/>
  <c r="B291" i="5"/>
  <c r="H290" i="5"/>
  <c r="B290" i="5"/>
  <c r="H289" i="5"/>
  <c r="B289" i="5"/>
  <c r="H288" i="5"/>
  <c r="B288" i="5"/>
  <c r="H287" i="5"/>
  <c r="B287" i="5"/>
  <c r="H286" i="5"/>
  <c r="B286" i="5"/>
  <c r="H285" i="5"/>
  <c r="B285" i="5"/>
  <c r="H284" i="5"/>
  <c r="B284" i="5"/>
  <c r="H283" i="5"/>
  <c r="B283" i="5"/>
  <c r="H282" i="5"/>
  <c r="B282" i="5"/>
  <c r="H281" i="5"/>
  <c r="B281" i="5"/>
  <c r="H280" i="5"/>
  <c r="B280" i="5"/>
  <c r="H279" i="5"/>
  <c r="B279" i="5"/>
  <c r="H278" i="5"/>
  <c r="B278" i="5"/>
  <c r="H277" i="5"/>
  <c r="B277" i="5"/>
  <c r="H276" i="5"/>
  <c r="B276" i="5"/>
  <c r="H275" i="5"/>
  <c r="B275" i="5"/>
  <c r="H274" i="5"/>
  <c r="B274" i="5"/>
  <c r="H273" i="5"/>
  <c r="B273" i="5"/>
  <c r="H272" i="5"/>
  <c r="B272" i="5"/>
  <c r="H271" i="5"/>
  <c r="B271" i="5"/>
  <c r="H270" i="5"/>
  <c r="B270" i="5"/>
  <c r="H269" i="5"/>
  <c r="B269" i="5"/>
  <c r="H268" i="5"/>
  <c r="B268" i="5"/>
  <c r="H267" i="5"/>
  <c r="B267" i="5"/>
  <c r="H266" i="5"/>
  <c r="B266" i="5"/>
  <c r="H265" i="5"/>
  <c r="B265" i="5"/>
  <c r="H264" i="5"/>
  <c r="B264" i="5"/>
  <c r="H263" i="5"/>
  <c r="B263" i="5"/>
  <c r="H262" i="5"/>
  <c r="B262" i="5"/>
  <c r="H261" i="5"/>
  <c r="B261" i="5"/>
  <c r="H260" i="5"/>
  <c r="B260" i="5"/>
  <c r="H259" i="5"/>
  <c r="B259" i="5"/>
  <c r="H258" i="5"/>
  <c r="B258" i="5"/>
  <c r="H257" i="5"/>
  <c r="B257" i="5"/>
  <c r="H256" i="5"/>
  <c r="B256" i="5"/>
  <c r="H255" i="5"/>
  <c r="B255" i="5"/>
  <c r="H254" i="5"/>
  <c r="B254" i="5"/>
  <c r="H253" i="5"/>
  <c r="B253" i="5"/>
  <c r="H252" i="5"/>
  <c r="B252" i="5"/>
  <c r="H251" i="5"/>
  <c r="B251" i="5"/>
  <c r="H250" i="5"/>
  <c r="B250" i="5"/>
  <c r="H249" i="5"/>
  <c r="B249" i="5"/>
  <c r="H248" i="5"/>
  <c r="B248" i="5"/>
  <c r="H247" i="5"/>
  <c r="B247" i="5"/>
  <c r="H246" i="5"/>
  <c r="B246" i="5"/>
  <c r="H245" i="5"/>
  <c r="B245" i="5"/>
  <c r="H244" i="5"/>
  <c r="B244" i="5"/>
  <c r="H243" i="5"/>
  <c r="B243" i="5"/>
  <c r="H242" i="5"/>
  <c r="B242" i="5"/>
  <c r="H241" i="5"/>
  <c r="B241" i="5"/>
  <c r="H240" i="5"/>
  <c r="B240" i="5"/>
  <c r="H239" i="5"/>
  <c r="B239" i="5"/>
  <c r="H238" i="5"/>
  <c r="B238" i="5"/>
  <c r="H237" i="5"/>
  <c r="B237" i="5"/>
  <c r="H236" i="5"/>
  <c r="B236" i="5"/>
  <c r="H235" i="5"/>
  <c r="B235" i="5"/>
  <c r="H234" i="5"/>
  <c r="B234" i="5"/>
  <c r="H233" i="5"/>
  <c r="B233" i="5"/>
  <c r="H232" i="5"/>
  <c r="B232" i="5"/>
  <c r="H231" i="5"/>
  <c r="B231" i="5"/>
  <c r="H230" i="5"/>
  <c r="B230" i="5"/>
  <c r="H229" i="5"/>
  <c r="B229" i="5"/>
  <c r="H228" i="5"/>
  <c r="B228" i="5"/>
  <c r="H227" i="5"/>
  <c r="B227" i="5"/>
  <c r="H226" i="5"/>
  <c r="B226" i="5"/>
  <c r="H225" i="5"/>
  <c r="B225" i="5"/>
  <c r="H224" i="5"/>
  <c r="B224" i="5"/>
  <c r="H223" i="5"/>
  <c r="B223" i="5"/>
  <c r="H222" i="5"/>
  <c r="B222" i="5"/>
  <c r="H221" i="5"/>
  <c r="B221" i="5"/>
  <c r="H220" i="5"/>
  <c r="B220" i="5"/>
  <c r="H219" i="5"/>
  <c r="B219" i="5"/>
  <c r="H218" i="5"/>
  <c r="B218" i="5"/>
  <c r="H217" i="5"/>
  <c r="B217" i="5"/>
  <c r="H216" i="5"/>
  <c r="B216" i="5"/>
  <c r="H215" i="5"/>
  <c r="B215" i="5"/>
  <c r="H214" i="5"/>
  <c r="B214" i="5"/>
  <c r="H213" i="5"/>
  <c r="B213" i="5"/>
  <c r="H212" i="5"/>
  <c r="B212" i="5"/>
  <c r="H211" i="5"/>
  <c r="B211" i="5"/>
  <c r="H210" i="5"/>
  <c r="B210" i="5"/>
  <c r="H209" i="5"/>
  <c r="B209" i="5"/>
  <c r="H208" i="5"/>
  <c r="B208" i="5"/>
  <c r="H207" i="5"/>
  <c r="B207" i="5"/>
  <c r="H206" i="5"/>
  <c r="B206" i="5"/>
  <c r="H205" i="5"/>
  <c r="B205" i="5"/>
  <c r="H204" i="5"/>
  <c r="B204" i="5"/>
  <c r="H203" i="5"/>
  <c r="B203" i="5"/>
  <c r="H202" i="5"/>
  <c r="B202" i="5"/>
  <c r="H201" i="5"/>
  <c r="B201" i="5"/>
  <c r="H200" i="5"/>
  <c r="B200" i="5"/>
  <c r="H199" i="5"/>
  <c r="B199" i="5"/>
  <c r="H198" i="5"/>
  <c r="B198" i="5"/>
  <c r="H197" i="5"/>
  <c r="B197" i="5"/>
  <c r="H196" i="5"/>
  <c r="B196" i="5"/>
  <c r="H195" i="5"/>
  <c r="B195" i="5"/>
  <c r="H194" i="5"/>
  <c r="B194" i="5"/>
  <c r="H193" i="5"/>
  <c r="B193" i="5"/>
  <c r="H192" i="5"/>
  <c r="B192" i="5"/>
  <c r="H191" i="5"/>
  <c r="B191" i="5"/>
  <c r="H190" i="5"/>
  <c r="B190" i="5"/>
  <c r="H189" i="5"/>
  <c r="B189" i="5"/>
  <c r="H188" i="5"/>
  <c r="B188" i="5"/>
  <c r="H187" i="5"/>
  <c r="B187" i="5"/>
  <c r="H186" i="5"/>
  <c r="B186" i="5"/>
  <c r="H185" i="5"/>
  <c r="B185" i="5"/>
  <c r="H184" i="5"/>
  <c r="B184" i="5"/>
  <c r="H183" i="5"/>
  <c r="B183" i="5"/>
  <c r="H182" i="5"/>
  <c r="B182" i="5"/>
  <c r="H181" i="5"/>
  <c r="B181" i="5"/>
  <c r="H180" i="5"/>
  <c r="B180" i="5"/>
  <c r="H179" i="5"/>
  <c r="B179" i="5"/>
  <c r="H178" i="5"/>
  <c r="B178" i="5"/>
  <c r="H177" i="5"/>
  <c r="B177" i="5"/>
  <c r="H176" i="5"/>
  <c r="B176" i="5"/>
  <c r="H175" i="5"/>
  <c r="B175" i="5"/>
  <c r="H174" i="5"/>
  <c r="B174" i="5"/>
  <c r="H173" i="5"/>
  <c r="B173" i="5"/>
  <c r="H172" i="5"/>
  <c r="B172" i="5"/>
  <c r="H171" i="5"/>
  <c r="B171" i="5"/>
  <c r="H170" i="5"/>
  <c r="B170" i="5"/>
  <c r="H169" i="5"/>
  <c r="B169" i="5"/>
  <c r="H168" i="5"/>
  <c r="B168" i="5"/>
  <c r="H167" i="5"/>
  <c r="B167" i="5"/>
  <c r="H166" i="5"/>
  <c r="B166" i="5"/>
  <c r="H165" i="5"/>
  <c r="B165" i="5"/>
  <c r="H164" i="5"/>
  <c r="B164" i="5"/>
  <c r="H163" i="5"/>
  <c r="B163" i="5"/>
  <c r="H162" i="5"/>
  <c r="B162" i="5"/>
  <c r="H161" i="5"/>
  <c r="B161" i="5"/>
  <c r="H160" i="5"/>
  <c r="B160" i="5"/>
  <c r="H159" i="5"/>
  <c r="B159" i="5"/>
  <c r="H158" i="5"/>
  <c r="B158" i="5"/>
  <c r="H157" i="5"/>
  <c r="B157" i="5"/>
  <c r="H156" i="5"/>
  <c r="B156" i="5"/>
  <c r="H155" i="5"/>
  <c r="B155" i="5"/>
  <c r="H154" i="5"/>
  <c r="B154" i="5"/>
  <c r="H153" i="5"/>
  <c r="B153" i="5"/>
  <c r="H152" i="5"/>
  <c r="B152" i="5"/>
  <c r="H151" i="5"/>
  <c r="B151" i="5"/>
  <c r="H150" i="5"/>
  <c r="B150" i="5"/>
  <c r="H149" i="5"/>
  <c r="B149" i="5"/>
  <c r="H148" i="5"/>
  <c r="B148" i="5"/>
  <c r="H147" i="5"/>
  <c r="B147" i="5"/>
  <c r="H146" i="5"/>
  <c r="B146" i="5"/>
  <c r="H145" i="5"/>
  <c r="B145" i="5"/>
  <c r="H144" i="5"/>
  <c r="B144" i="5"/>
  <c r="H143" i="5"/>
  <c r="B143" i="5"/>
  <c r="H142" i="5"/>
  <c r="B142" i="5"/>
  <c r="H141" i="5"/>
  <c r="B141" i="5"/>
  <c r="H140" i="5"/>
  <c r="B140" i="5"/>
  <c r="H139" i="5"/>
  <c r="B139" i="5"/>
  <c r="H138" i="5"/>
  <c r="B138" i="5"/>
  <c r="H137" i="5"/>
  <c r="B137" i="5"/>
  <c r="H136" i="5"/>
  <c r="B136" i="5"/>
  <c r="H135" i="5"/>
  <c r="B135" i="5"/>
  <c r="H134" i="5"/>
  <c r="B134" i="5"/>
  <c r="H133" i="5"/>
  <c r="B133" i="5"/>
  <c r="H132" i="5"/>
  <c r="B132" i="5"/>
  <c r="H131" i="5"/>
  <c r="B131" i="5"/>
  <c r="H130" i="5"/>
  <c r="B130" i="5"/>
  <c r="H129" i="5"/>
  <c r="B129" i="5"/>
  <c r="H128" i="5"/>
  <c r="B128" i="5"/>
  <c r="H127" i="5"/>
  <c r="B127" i="5"/>
  <c r="H126" i="5"/>
  <c r="B126" i="5"/>
  <c r="H125" i="5"/>
  <c r="B125" i="5"/>
  <c r="H124" i="5"/>
  <c r="B124" i="5"/>
  <c r="H123" i="5"/>
  <c r="B123" i="5"/>
  <c r="H122" i="5"/>
  <c r="B122" i="5"/>
  <c r="H121" i="5"/>
  <c r="B121" i="5"/>
  <c r="H120" i="5"/>
  <c r="B120" i="5"/>
  <c r="H119" i="5"/>
  <c r="B119" i="5"/>
  <c r="H118" i="5"/>
  <c r="B118" i="5"/>
  <c r="H117" i="5"/>
  <c r="B117" i="5"/>
  <c r="H116" i="5"/>
  <c r="B116" i="5"/>
  <c r="H115" i="5"/>
  <c r="B115" i="5"/>
  <c r="H114" i="5"/>
  <c r="B114" i="5"/>
  <c r="H113" i="5"/>
  <c r="B113" i="5"/>
  <c r="H112" i="5"/>
  <c r="B112" i="5"/>
  <c r="H111" i="5"/>
  <c r="B111" i="5"/>
  <c r="H110" i="5"/>
  <c r="B110" i="5"/>
  <c r="H109" i="5"/>
  <c r="B109" i="5"/>
  <c r="H108" i="5"/>
  <c r="B108" i="5"/>
  <c r="H107" i="5"/>
  <c r="B107" i="5"/>
  <c r="H106" i="5"/>
  <c r="B106" i="5"/>
  <c r="H105" i="5"/>
  <c r="B105" i="5"/>
  <c r="H104" i="5"/>
  <c r="B104" i="5"/>
  <c r="H103" i="5"/>
  <c r="B103" i="5"/>
  <c r="H102" i="5"/>
  <c r="B102" i="5"/>
  <c r="H101" i="5"/>
  <c r="B101" i="5"/>
  <c r="H100" i="5"/>
  <c r="B100" i="5"/>
  <c r="H99" i="5"/>
  <c r="B99" i="5"/>
  <c r="H98" i="5"/>
  <c r="B98" i="5"/>
  <c r="H97" i="5"/>
  <c r="B97" i="5"/>
  <c r="H96" i="5"/>
  <c r="B96" i="5"/>
  <c r="H95" i="5"/>
  <c r="B95" i="5"/>
  <c r="H94" i="5"/>
  <c r="B94" i="5"/>
  <c r="H93" i="5"/>
  <c r="B93" i="5"/>
  <c r="H92" i="5"/>
  <c r="B92" i="5"/>
  <c r="H91" i="5"/>
  <c r="B91" i="5"/>
  <c r="H90" i="5"/>
  <c r="B90" i="5"/>
  <c r="H89" i="5"/>
  <c r="B89" i="5"/>
  <c r="H88" i="5"/>
  <c r="B88" i="5"/>
  <c r="H87" i="5"/>
  <c r="B87" i="5"/>
  <c r="H86" i="5"/>
  <c r="B86" i="5"/>
  <c r="H85" i="5"/>
  <c r="B85" i="5"/>
  <c r="H84" i="5"/>
  <c r="B84" i="5"/>
  <c r="H83" i="5"/>
  <c r="B83" i="5"/>
  <c r="H82" i="5"/>
  <c r="B82" i="5"/>
  <c r="H81" i="5"/>
  <c r="B81" i="5"/>
  <c r="H80" i="5"/>
  <c r="B80" i="5"/>
  <c r="H79" i="5"/>
  <c r="B79" i="5"/>
  <c r="H78" i="5"/>
  <c r="B78" i="5"/>
  <c r="H77" i="5"/>
  <c r="B77" i="5"/>
  <c r="H76" i="5"/>
  <c r="B76" i="5"/>
  <c r="H75" i="5"/>
  <c r="B75" i="5"/>
  <c r="H74" i="5"/>
  <c r="B74" i="5"/>
  <c r="H73" i="5"/>
  <c r="B73" i="5"/>
  <c r="H72" i="5"/>
  <c r="B72" i="5"/>
  <c r="H71" i="5"/>
  <c r="B71" i="5"/>
  <c r="H70" i="5"/>
  <c r="B70" i="5"/>
  <c r="H69" i="5"/>
  <c r="B69" i="5"/>
  <c r="H68" i="5"/>
  <c r="B68" i="5"/>
  <c r="H67" i="5"/>
  <c r="B67" i="5"/>
  <c r="H66" i="5"/>
  <c r="B66" i="5"/>
  <c r="H65" i="5"/>
  <c r="B65" i="5"/>
  <c r="H64" i="5"/>
  <c r="B64" i="5"/>
  <c r="H63" i="5"/>
  <c r="B63" i="5"/>
  <c r="H62" i="5"/>
  <c r="B62" i="5"/>
  <c r="H61" i="5"/>
  <c r="B61" i="5"/>
  <c r="H60" i="5"/>
  <c r="B60" i="5"/>
  <c r="H59" i="5"/>
  <c r="B59" i="5"/>
  <c r="H58" i="5"/>
  <c r="B58" i="5"/>
  <c r="H57" i="5"/>
  <c r="B57" i="5"/>
  <c r="H56" i="5"/>
  <c r="B56" i="5"/>
  <c r="H55" i="5"/>
  <c r="B55" i="5"/>
  <c r="H54" i="5"/>
  <c r="B54" i="5"/>
  <c r="H53" i="5"/>
  <c r="B53" i="5"/>
  <c r="H52" i="5"/>
  <c r="B52" i="5"/>
  <c r="H51" i="5"/>
  <c r="B51" i="5"/>
  <c r="H50" i="5"/>
  <c r="B50" i="5"/>
  <c r="H49" i="5"/>
  <c r="B49" i="5"/>
  <c r="H48" i="5"/>
  <c r="B48" i="5"/>
  <c r="H47" i="5"/>
  <c r="B47" i="5"/>
  <c r="H46" i="5"/>
  <c r="B46" i="5"/>
  <c r="H45" i="5"/>
  <c r="B45" i="5"/>
  <c r="H44" i="5"/>
  <c r="B44" i="5"/>
  <c r="H43" i="5"/>
  <c r="B43" i="5"/>
  <c r="H42" i="5"/>
  <c r="B42" i="5"/>
  <c r="H41" i="5"/>
  <c r="B41" i="5"/>
  <c r="H40" i="5"/>
  <c r="B40" i="5"/>
  <c r="H39" i="5"/>
  <c r="B39" i="5"/>
  <c r="H38" i="5"/>
  <c r="B38" i="5"/>
  <c r="H37" i="5"/>
  <c r="B37" i="5"/>
  <c r="H36" i="5"/>
  <c r="B36" i="5"/>
  <c r="H35" i="5"/>
  <c r="B35" i="5"/>
  <c r="H34" i="5"/>
  <c r="B34" i="5"/>
  <c r="H33" i="5"/>
  <c r="B33" i="5"/>
  <c r="H32" i="5"/>
  <c r="B32" i="5"/>
  <c r="H31" i="5"/>
  <c r="B31" i="5"/>
  <c r="H30" i="5"/>
  <c r="B30" i="5"/>
  <c r="H29" i="5"/>
  <c r="B29" i="5"/>
  <c r="H28" i="5"/>
  <c r="B28" i="5"/>
  <c r="H27" i="5"/>
  <c r="B27" i="5"/>
  <c r="H26" i="5"/>
  <c r="B26" i="5"/>
  <c r="H25" i="5"/>
  <c r="B25" i="5"/>
  <c r="H24" i="5"/>
  <c r="B24" i="5"/>
  <c r="H23" i="5"/>
  <c r="B23" i="5"/>
  <c r="H22" i="5"/>
  <c r="B22" i="5"/>
  <c r="H21" i="5"/>
  <c r="B21" i="5"/>
  <c r="H20" i="5"/>
  <c r="B20" i="5"/>
  <c r="H19" i="5"/>
  <c r="B19" i="5"/>
  <c r="H18" i="5"/>
  <c r="B18" i="5"/>
  <c r="H17" i="5"/>
  <c r="B17" i="5"/>
  <c r="H16" i="5"/>
  <c r="B16" i="5"/>
  <c r="H15" i="5"/>
  <c r="B15" i="5"/>
  <c r="H14" i="5"/>
  <c r="B14" i="5"/>
  <c r="H13" i="5"/>
  <c r="B13" i="5"/>
  <c r="H12" i="5"/>
  <c r="B12" i="5"/>
  <c r="H11" i="5"/>
  <c r="B11" i="5"/>
  <c r="H10" i="5"/>
  <c r="B10" i="5"/>
  <c r="H9" i="5"/>
  <c r="B9" i="5"/>
  <c r="H8" i="5"/>
  <c r="B8" i="5"/>
  <c r="H7" i="5"/>
  <c r="B7" i="5"/>
  <c r="H6" i="5"/>
  <c r="B6" i="5"/>
  <c r="H5" i="5"/>
  <c r="B5" i="5"/>
  <c r="H4" i="5"/>
  <c r="B4" i="5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AA3" i="3"/>
  <c r="AA2" i="3"/>
  <c r="L301" i="1"/>
  <c r="K301" i="1"/>
  <c r="J301" i="1"/>
  <c r="I301" i="1"/>
  <c r="H301" i="1"/>
  <c r="M301" i="1" s="1" a="1"/>
  <c r="M301" i="1" s="1"/>
  <c r="G301" i="1" a="1"/>
  <c r="G301" i="1" s="1"/>
  <c r="F301" i="1" a="1"/>
  <c r="F301" i="1" s="1"/>
  <c r="L270" i="1"/>
  <c r="K270" i="1"/>
  <c r="J270" i="1"/>
  <c r="I270" i="1"/>
  <c r="H270" i="1"/>
  <c r="M270" i="1" s="1" a="1"/>
  <c r="M270" i="1" s="1"/>
  <c r="G270" i="1" a="1"/>
  <c r="G270" i="1" s="1"/>
  <c r="F270" i="1" a="1"/>
  <c r="F270" i="1" s="1"/>
  <c r="L269" i="1"/>
  <c r="K269" i="1"/>
  <c r="J269" i="1"/>
  <c r="I269" i="1"/>
  <c r="H269" i="1"/>
  <c r="M269" i="1" s="1" a="1"/>
  <c r="M269" i="1" s="1"/>
  <c r="G269" i="1" a="1"/>
  <c r="G269" i="1" s="1"/>
  <c r="F269" i="1" a="1"/>
  <c r="F269" i="1" s="1"/>
  <c r="L268" i="1"/>
  <c r="K268" i="1"/>
  <c r="J268" i="1"/>
  <c r="I268" i="1"/>
  <c r="H268" i="1"/>
  <c r="M268" i="1" s="1" a="1"/>
  <c r="M268" i="1" s="1"/>
  <c r="G268" i="1" a="1"/>
  <c r="G268" i="1" s="1"/>
  <c r="F268" i="1" a="1"/>
  <c r="F268" i="1" s="1"/>
  <c r="L251" i="1"/>
  <c r="K251" i="1"/>
  <c r="J251" i="1"/>
  <c r="I251" i="1"/>
  <c r="H251" i="1"/>
  <c r="M251" i="1" s="1" a="1"/>
  <c r="M251" i="1" s="1"/>
  <c r="G251" i="1" a="1"/>
  <c r="G251" i="1" s="1"/>
  <c r="F251" i="1" a="1"/>
  <c r="F251" i="1" s="1"/>
  <c r="L250" i="1"/>
  <c r="K250" i="1"/>
  <c r="J250" i="1"/>
  <c r="I250" i="1"/>
  <c r="H250" i="1"/>
  <c r="M250" i="1" s="1" a="1"/>
  <c r="M250" i="1" s="1"/>
  <c r="G250" i="1" a="1"/>
  <c r="G250" i="1" s="1"/>
  <c r="F250" i="1" a="1"/>
  <c r="F250" i="1" s="1"/>
  <c r="L249" i="1"/>
  <c r="K249" i="1"/>
  <c r="J249" i="1"/>
  <c r="I249" i="1"/>
  <c r="H249" i="1"/>
  <c r="M249" i="1" s="1" a="1"/>
  <c r="M249" i="1" s="1"/>
  <c r="G249" i="1" a="1"/>
  <c r="G249" i="1" s="1"/>
  <c r="F249" i="1" a="1"/>
  <c r="F249" i="1" s="1"/>
  <c r="L202" i="1"/>
  <c r="K202" i="1"/>
  <c r="J202" i="1"/>
  <c r="I202" i="1"/>
  <c r="H202" i="1"/>
  <c r="M202" i="1" s="1" a="1"/>
  <c r="M202" i="1" s="1"/>
  <c r="G202" i="1" a="1"/>
  <c r="G202" i="1" s="1"/>
  <c r="F202" i="1" a="1"/>
  <c r="F202" i="1" s="1"/>
  <c r="L201" i="1"/>
  <c r="K201" i="1"/>
  <c r="J201" i="1"/>
  <c r="I201" i="1"/>
  <c r="H201" i="1"/>
  <c r="M201" i="1" s="1" a="1"/>
  <c r="M201" i="1" s="1"/>
  <c r="G201" i="1" a="1"/>
  <c r="G201" i="1" s="1"/>
  <c r="F201" i="1" a="1"/>
  <c r="F201" i="1" s="1"/>
  <c r="L200" i="1"/>
  <c r="K200" i="1"/>
  <c r="J200" i="1"/>
  <c r="I200" i="1"/>
  <c r="H200" i="1"/>
  <c r="M200" i="1" s="1" a="1"/>
  <c r="M200" i="1" s="1"/>
  <c r="G200" i="1" a="1"/>
  <c r="G200" i="1" s="1"/>
  <c r="F200" i="1" a="1"/>
  <c r="F200" i="1" s="1"/>
  <c r="L199" i="1"/>
  <c r="K199" i="1"/>
  <c r="J199" i="1"/>
  <c r="I199" i="1"/>
  <c r="H199" i="1"/>
  <c r="M199" i="1" s="1" a="1"/>
  <c r="M199" i="1" s="1"/>
  <c r="G199" i="1" a="1"/>
  <c r="G199" i="1" s="1"/>
  <c r="F199" i="1" a="1"/>
  <c r="F199" i="1" s="1"/>
  <c r="L178" i="1"/>
  <c r="K178" i="1"/>
  <c r="J178" i="1"/>
  <c r="I178" i="1"/>
  <c r="H178" i="1"/>
  <c r="M178" i="1" s="1" a="1"/>
  <c r="M178" i="1" s="1"/>
  <c r="G178" i="1" a="1"/>
  <c r="G178" i="1" s="1"/>
  <c r="F178" i="1" a="1"/>
  <c r="F178" i="1" s="1"/>
  <c r="L177" i="1"/>
  <c r="K177" i="1"/>
  <c r="J177" i="1"/>
  <c r="I177" i="1"/>
  <c r="H177" i="1"/>
  <c r="M177" i="1" s="1" a="1"/>
  <c r="M177" i="1" s="1"/>
  <c r="G177" i="1" a="1"/>
  <c r="G177" i="1" s="1"/>
  <c r="F177" i="1" a="1"/>
  <c r="F177" i="1" s="1"/>
  <c r="L176" i="1"/>
  <c r="K176" i="1"/>
  <c r="J176" i="1"/>
  <c r="I176" i="1"/>
  <c r="H176" i="1"/>
  <c r="M176" i="1" s="1" a="1"/>
  <c r="M176" i="1" s="1"/>
  <c r="G176" i="1" a="1"/>
  <c r="G176" i="1" s="1"/>
  <c r="F176" i="1" a="1"/>
  <c r="F176" i="1" s="1"/>
  <c r="L175" i="1"/>
  <c r="K175" i="1"/>
  <c r="J175" i="1"/>
  <c r="I175" i="1"/>
  <c r="H175" i="1"/>
  <c r="M175" i="1" s="1" a="1"/>
  <c r="M175" i="1" s="1"/>
  <c r="G175" i="1" a="1"/>
  <c r="G175" i="1" s="1"/>
  <c r="F175" i="1" a="1"/>
  <c r="F175" i="1" s="1"/>
  <c r="L126" i="1"/>
  <c r="K126" i="1"/>
  <c r="J126" i="1"/>
  <c r="I126" i="1"/>
  <c r="H126" i="1"/>
  <c r="M126" i="1" s="1" a="1"/>
  <c r="M126" i="1" s="1"/>
  <c r="G126" i="1" a="1"/>
  <c r="G126" i="1" s="1"/>
  <c r="F126" i="1" a="1"/>
  <c r="F126" i="1" s="1"/>
  <c r="L122" i="1"/>
  <c r="K122" i="1"/>
  <c r="J122" i="1"/>
  <c r="I122" i="1"/>
  <c r="H122" i="1"/>
  <c r="M122" i="1" s="1" a="1"/>
  <c r="M122" i="1" s="1"/>
  <c r="G122" i="1" a="1"/>
  <c r="G122" i="1" s="1"/>
  <c r="F122" i="1" a="1"/>
  <c r="F122" i="1" s="1"/>
  <c r="M121" i="1" a="1"/>
  <c r="M121" i="1" s="1"/>
  <c r="L121" i="1"/>
  <c r="K121" i="1"/>
  <c r="J121" i="1"/>
  <c r="I121" i="1"/>
  <c r="H121" i="1"/>
  <c r="G121" i="1" a="1"/>
  <c r="G121" i="1" s="1"/>
  <c r="F121" i="1" a="1"/>
  <c r="F121" i="1" s="1"/>
  <c r="L120" i="1"/>
  <c r="K120" i="1"/>
  <c r="J120" i="1"/>
  <c r="I120" i="1"/>
  <c r="H120" i="1"/>
  <c r="M120" i="1" s="1" a="1"/>
  <c r="M120" i="1" s="1"/>
  <c r="G120" i="1" a="1"/>
  <c r="G120" i="1" s="1"/>
  <c r="F120" i="1" a="1"/>
  <c r="F120" i="1" s="1"/>
  <c r="L119" i="1"/>
  <c r="K119" i="1"/>
  <c r="J119" i="1"/>
  <c r="I119" i="1"/>
  <c r="H119" i="1"/>
  <c r="M119" i="1" s="1" a="1"/>
  <c r="M119" i="1" s="1"/>
  <c r="G119" i="1" a="1"/>
  <c r="G119" i="1" s="1"/>
  <c r="F119" i="1" a="1"/>
  <c r="F119" i="1" s="1"/>
  <c r="L117" i="1"/>
  <c r="K117" i="1"/>
  <c r="J117" i="1"/>
  <c r="I117" i="1"/>
  <c r="H117" i="1"/>
  <c r="M117" i="1" s="1" a="1"/>
  <c r="M117" i="1" s="1"/>
  <c r="G117" i="1" a="1"/>
  <c r="G117" i="1" s="1"/>
  <c r="F117" i="1" a="1"/>
  <c r="F117" i="1" s="1"/>
  <c r="L115" i="1"/>
  <c r="K115" i="1"/>
  <c r="J115" i="1"/>
  <c r="I115" i="1"/>
  <c r="H115" i="1"/>
  <c r="M115" i="1" s="1" a="1"/>
  <c r="M115" i="1" s="1"/>
  <c r="G115" i="1" a="1"/>
  <c r="G115" i="1" s="1"/>
  <c r="F115" i="1" a="1"/>
  <c r="F115" i="1" s="1"/>
  <c r="L112" i="1"/>
  <c r="K112" i="1"/>
  <c r="J112" i="1"/>
  <c r="I112" i="1"/>
  <c r="H112" i="1"/>
  <c r="M112" i="1" s="1" a="1"/>
  <c r="M112" i="1" s="1"/>
  <c r="G112" i="1" a="1"/>
  <c r="G112" i="1" s="1"/>
  <c r="F112" i="1" a="1"/>
  <c r="F112" i="1" s="1"/>
  <c r="L110" i="1"/>
  <c r="K110" i="1"/>
  <c r="J110" i="1"/>
  <c r="I110" i="1"/>
  <c r="H110" i="1"/>
  <c r="M110" i="1" s="1" a="1"/>
  <c r="M110" i="1" s="1"/>
  <c r="G110" i="1" a="1"/>
  <c r="G110" i="1" s="1"/>
  <c r="F110" i="1" a="1"/>
  <c r="F110" i="1" s="1"/>
  <c r="L77" i="1"/>
  <c r="K77" i="1"/>
  <c r="J77" i="1"/>
  <c r="I77" i="1"/>
  <c r="H77" i="1"/>
  <c r="M77" i="1" s="1" a="1"/>
  <c r="M77" i="1" s="1"/>
  <c r="G77" i="1" a="1"/>
  <c r="G77" i="1" s="1"/>
  <c r="F77" i="1" a="1"/>
  <c r="F77" i="1" s="1"/>
  <c r="L76" i="1"/>
  <c r="K76" i="1"/>
  <c r="J76" i="1"/>
  <c r="I76" i="1"/>
  <c r="H76" i="1"/>
  <c r="M76" i="1" s="1" a="1"/>
  <c r="M76" i="1" s="1"/>
  <c r="G76" i="1" a="1"/>
  <c r="G76" i="1" s="1"/>
  <c r="F76" i="1" a="1"/>
  <c r="F76" i="1" s="1"/>
  <c r="L46" i="1"/>
  <c r="K46" i="1"/>
  <c r="J46" i="1"/>
  <c r="I46" i="1"/>
  <c r="H46" i="1"/>
  <c r="M46" i="1" s="1" a="1"/>
  <c r="M46" i="1" s="1"/>
  <c r="G46" i="1" a="1"/>
  <c r="G46" i="1" s="1"/>
  <c r="F46" i="1" a="1"/>
  <c r="F46" i="1" s="1"/>
  <c r="L45" i="1"/>
  <c r="K45" i="1"/>
  <c r="J45" i="1"/>
  <c r="I45" i="1"/>
  <c r="H45" i="1"/>
  <c r="M45" i="1" s="1" a="1"/>
  <c r="M45" i="1" s="1"/>
  <c r="G45" i="1" a="1"/>
  <c r="G45" i="1" s="1"/>
  <c r="F45" i="1" a="1"/>
  <c r="F45" i="1" s="1"/>
  <c r="L44" i="1"/>
  <c r="K44" i="1"/>
  <c r="J44" i="1"/>
  <c r="I44" i="1"/>
  <c r="H44" i="1"/>
  <c r="M44" i="1" s="1" a="1"/>
  <c r="M44" i="1" s="1"/>
  <c r="G44" i="1" a="1"/>
  <c r="G44" i="1" s="1"/>
  <c r="F44" i="1" a="1"/>
  <c r="F44" i="1" s="1"/>
  <c r="L43" i="1"/>
  <c r="K43" i="1"/>
  <c r="J43" i="1"/>
  <c r="I43" i="1"/>
  <c r="H43" i="1"/>
  <c r="M43" i="1" s="1" a="1"/>
  <c r="M43" i="1" s="1"/>
  <c r="G43" i="1" a="1"/>
  <c r="G43" i="1" s="1"/>
  <c r="F43" i="1" a="1"/>
  <c r="F43" i="1" s="1"/>
  <c r="L42" i="1"/>
  <c r="K42" i="1"/>
  <c r="J42" i="1"/>
  <c r="I42" i="1"/>
  <c r="H42" i="1"/>
  <c r="M42" i="1" s="1" a="1"/>
  <c r="M42" i="1" s="1"/>
  <c r="G42" i="1" a="1"/>
  <c r="G42" i="1" s="1"/>
  <c r="F42" i="1" a="1"/>
  <c r="F42" i="1" s="1"/>
  <c r="L40" i="1"/>
  <c r="K40" i="1"/>
  <c r="J40" i="1"/>
  <c r="I40" i="1"/>
  <c r="H40" i="1"/>
  <c r="M40" i="1" s="1" a="1"/>
  <c r="M40" i="1" s="1"/>
  <c r="G40" i="1" a="1"/>
  <c r="G40" i="1" s="1"/>
  <c r="F40" i="1" a="1"/>
  <c r="F40" i="1" s="1"/>
  <c r="L38" i="1"/>
  <c r="K38" i="1"/>
  <c r="J38" i="1"/>
  <c r="I38" i="1"/>
  <c r="H38" i="1"/>
  <c r="M38" i="1" s="1" a="1"/>
  <c r="M38" i="1" s="1"/>
  <c r="G38" i="1" a="1"/>
  <c r="G38" i="1" s="1"/>
  <c r="F38" i="1" a="1"/>
  <c r="F38" i="1" s="1"/>
  <c r="L36" i="1"/>
  <c r="K36" i="1"/>
  <c r="J36" i="1"/>
  <c r="I36" i="1"/>
  <c r="H36" i="1"/>
  <c r="M36" i="1" s="1" a="1"/>
  <c r="M36" i="1" s="1"/>
  <c r="G36" i="1" a="1"/>
  <c r="G36" i="1" s="1"/>
  <c r="F36" i="1" a="1"/>
  <c r="F36" i="1" s="1"/>
  <c r="L34" i="1"/>
  <c r="K34" i="1"/>
  <c r="J34" i="1"/>
  <c r="I34" i="1"/>
  <c r="H34" i="1"/>
  <c r="M34" i="1" s="1" a="1"/>
  <c r="M34" i="1" s="1"/>
  <c r="G34" i="1" a="1"/>
  <c r="G34" i="1" s="1"/>
  <c r="F34" i="1" a="1"/>
  <c r="F34" i="1" s="1"/>
  <c r="L32" i="1"/>
  <c r="K32" i="1"/>
  <c r="J32" i="1"/>
  <c r="I32" i="1"/>
  <c r="H32" i="1"/>
  <c r="M32" i="1" s="1" a="1"/>
  <c r="M32" i="1" s="1"/>
  <c r="G32" i="1" a="1"/>
  <c r="G32" i="1" s="1"/>
  <c r="F32" i="1" a="1"/>
  <c r="F32" i="1" s="1"/>
  <c r="L30" i="1"/>
  <c r="K30" i="1"/>
  <c r="J30" i="1"/>
  <c r="I30" i="1"/>
  <c r="H30" i="1"/>
  <c r="M30" i="1" s="1" a="1"/>
  <c r="M30" i="1" s="1"/>
  <c r="G30" i="1" a="1"/>
  <c r="G30" i="1" s="1"/>
  <c r="F30" i="1" a="1"/>
  <c r="F30" i="1" s="1"/>
  <c r="L28" i="1"/>
  <c r="K28" i="1"/>
  <c r="J28" i="1"/>
  <c r="I28" i="1"/>
  <c r="H28" i="1"/>
  <c r="M28" i="1" s="1" a="1"/>
  <c r="M28" i="1" s="1"/>
  <c r="G28" i="1" a="1"/>
  <c r="G28" i="1" s="1"/>
  <c r="F28" i="1" a="1"/>
  <c r="F28" i="1" s="1"/>
  <c r="L26" i="1"/>
  <c r="K26" i="1"/>
  <c r="J26" i="1"/>
  <c r="I26" i="1"/>
  <c r="H26" i="1"/>
  <c r="M26" i="1" s="1" a="1"/>
  <c r="M26" i="1" s="1"/>
  <c r="G26" i="1" a="1"/>
  <c r="G26" i="1" s="1"/>
  <c r="F26" i="1" a="1"/>
  <c r="F26" i="1" s="1"/>
  <c r="L24" i="1"/>
  <c r="K24" i="1"/>
  <c r="J24" i="1"/>
  <c r="I24" i="1"/>
  <c r="H24" i="1"/>
  <c r="M24" i="1" s="1" a="1"/>
  <c r="M24" i="1" s="1"/>
  <c r="G24" i="1" a="1"/>
  <c r="G24" i="1" s="1"/>
  <c r="F24" i="1" a="1"/>
  <c r="F24" i="1" s="1"/>
  <c r="L22" i="1"/>
  <c r="K22" i="1"/>
  <c r="J22" i="1"/>
  <c r="I22" i="1"/>
  <c r="H22" i="1"/>
  <c r="M22" i="1" s="1" a="1"/>
  <c r="M22" i="1" s="1"/>
  <c r="G22" i="1" a="1"/>
  <c r="G22" i="1" s="1"/>
  <c r="F22" i="1" a="1"/>
  <c r="F22" i="1" s="1"/>
  <c r="L20" i="1"/>
  <c r="K20" i="1"/>
  <c r="J20" i="1"/>
  <c r="I20" i="1"/>
  <c r="H20" i="1"/>
  <c r="M20" i="1" s="1" a="1"/>
  <c r="M20" i="1" s="1"/>
  <c r="G20" i="1" a="1"/>
  <c r="G20" i="1" s="1"/>
  <c r="F20" i="1" a="1"/>
  <c r="F20" i="1" s="1"/>
  <c r="L18" i="1"/>
  <c r="K18" i="1"/>
  <c r="J18" i="1"/>
  <c r="I18" i="1"/>
  <c r="H18" i="1"/>
  <c r="M18" i="1" s="1" a="1"/>
  <c r="M18" i="1" s="1"/>
  <c r="G18" i="1" a="1"/>
  <c r="G18" i="1" s="1"/>
  <c r="F18" i="1" a="1"/>
  <c r="F18" i="1" s="1"/>
  <c r="L17" i="1"/>
  <c r="K17" i="1"/>
  <c r="J17" i="1"/>
  <c r="I17" i="1"/>
  <c r="H17" i="1"/>
  <c r="M17" i="1" s="1" a="1"/>
  <c r="M17" i="1" s="1"/>
  <c r="G17" i="1" a="1"/>
  <c r="G17" i="1" s="1"/>
  <c r="F17" i="1" a="1"/>
  <c r="F17" i="1" s="1"/>
  <c r="L16" i="1"/>
  <c r="K16" i="1"/>
  <c r="J16" i="1"/>
  <c r="I16" i="1"/>
  <c r="H16" i="1"/>
  <c r="M16" i="1" s="1" a="1"/>
  <c r="M16" i="1" s="1"/>
  <c r="G16" i="1" a="1"/>
  <c r="G16" i="1" s="1"/>
  <c r="F16" i="1" a="1"/>
  <c r="F16" i="1" s="1"/>
  <c r="L15" i="1"/>
  <c r="K15" i="1"/>
  <c r="J15" i="1"/>
  <c r="I15" i="1"/>
  <c r="H15" i="1"/>
  <c r="M15" i="1" s="1" a="1"/>
  <c r="M15" i="1" s="1"/>
  <c r="G15" i="1" a="1"/>
  <c r="G15" i="1" s="1"/>
  <c r="F15" i="1" a="1"/>
  <c r="F15" i="1" s="1"/>
  <c r="L14" i="1"/>
  <c r="K14" i="1"/>
  <c r="J14" i="1"/>
  <c r="I14" i="1"/>
  <c r="H14" i="1"/>
  <c r="M14" i="1" s="1" a="1"/>
  <c r="M14" i="1" s="1"/>
  <c r="G14" i="1" a="1"/>
  <c r="G14" i="1" s="1"/>
  <c r="F14" i="1" a="1"/>
  <c r="F14" i="1" s="1"/>
  <c r="L13" i="1"/>
  <c r="K13" i="1"/>
  <c r="J13" i="1"/>
  <c r="I13" i="1"/>
  <c r="H13" i="1"/>
  <c r="M13" i="1" s="1" a="1"/>
  <c r="M13" i="1" s="1"/>
  <c r="G13" i="1" a="1"/>
  <c r="G13" i="1" s="1"/>
  <c r="F13" i="1" a="1"/>
  <c r="F13" i="1" s="1"/>
  <c r="L12" i="1"/>
  <c r="K12" i="1"/>
  <c r="J12" i="1"/>
  <c r="I12" i="1"/>
  <c r="H12" i="1"/>
  <c r="M12" i="1" s="1" a="1"/>
  <c r="M12" i="1" s="1"/>
  <c r="G12" i="1" a="1"/>
  <c r="G12" i="1" s="1"/>
  <c r="F12" i="1" a="1"/>
  <c r="F12" i="1" s="1"/>
  <c r="L11" i="1"/>
  <c r="K11" i="1"/>
  <c r="J11" i="1"/>
  <c r="I11" i="1"/>
  <c r="H11" i="1"/>
  <c r="M11" i="1" s="1" a="1"/>
  <c r="M11" i="1" s="1"/>
  <c r="G11" i="1" a="1"/>
  <c r="G11" i="1" s="1"/>
  <c r="F11" i="1" a="1"/>
  <c r="F11" i="1" s="1"/>
  <c r="L10" i="1"/>
  <c r="K10" i="1"/>
  <c r="J10" i="1"/>
  <c r="I10" i="1"/>
  <c r="H10" i="1"/>
  <c r="M10" i="1" s="1" a="1"/>
  <c r="M10" i="1" s="1"/>
  <c r="G10" i="1" a="1"/>
  <c r="G10" i="1" s="1"/>
  <c r="F10" i="1" a="1"/>
  <c r="F10" i="1" s="1"/>
  <c r="L9" i="1"/>
  <c r="K9" i="1"/>
  <c r="J9" i="1"/>
  <c r="I9" i="1"/>
  <c r="H9" i="1"/>
  <c r="M9" i="1" s="1" a="1"/>
  <c r="M9" i="1" s="1"/>
  <c r="G9" i="1" a="1"/>
  <c r="G9" i="1" s="1"/>
  <c r="F9" i="1" a="1"/>
  <c r="F9" i="1" s="1"/>
  <c r="L8" i="1"/>
  <c r="K8" i="1"/>
  <c r="J8" i="1"/>
  <c r="I8" i="1"/>
  <c r="H8" i="1"/>
  <c r="M8" i="1" s="1" a="1"/>
  <c r="M8" i="1" s="1"/>
  <c r="G8" i="1" a="1"/>
  <c r="G8" i="1" s="1"/>
  <c r="F8" i="1" a="1"/>
  <c r="F8" i="1" s="1"/>
  <c r="L7" i="1"/>
  <c r="K7" i="1"/>
  <c r="J7" i="1"/>
  <c r="I7" i="1"/>
  <c r="H7" i="1"/>
  <c r="M7" i="1" s="1" a="1"/>
  <c r="M7" i="1" s="1"/>
  <c r="G7" i="1" a="1"/>
  <c r="G7" i="1" s="1"/>
  <c r="F7" i="1" a="1"/>
  <c r="F7" i="1" s="1"/>
  <c r="L6" i="1"/>
  <c r="K6" i="1"/>
  <c r="J6" i="1"/>
  <c r="I6" i="1"/>
  <c r="H6" i="1"/>
  <c r="M6" i="1" s="1" a="1"/>
  <c r="M6" i="1" s="1"/>
  <c r="G6" i="1" a="1"/>
  <c r="G6" i="1" s="1"/>
  <c r="F6" i="1" a="1"/>
  <c r="F6" i="1" s="1"/>
  <c r="L5" i="1"/>
  <c r="K5" i="1"/>
  <c r="J5" i="1"/>
  <c r="I5" i="1"/>
  <c r="H5" i="1"/>
  <c r="M5" i="1" s="1" a="1"/>
  <c r="M5" i="1" s="1"/>
  <c r="G5" i="1" a="1"/>
  <c r="G5" i="1" s="1"/>
  <c r="F5" i="1" a="1"/>
  <c r="F5" i="1" s="1"/>
  <c r="L4" i="1"/>
  <c r="K4" i="1"/>
  <c r="J4" i="1"/>
  <c r="I4" i="1"/>
  <c r="H4" i="1"/>
  <c r="M4" i="1" s="1" a="1"/>
  <c r="M4" i="1" s="1"/>
  <c r="G4" i="1" a="1"/>
  <c r="G4" i="1" s="1"/>
  <c r="F4" i="1" a="1"/>
  <c r="F4" i="1" s="1"/>
  <c r="L3" i="1"/>
  <c r="K3" i="1"/>
  <c r="J3" i="1"/>
  <c r="I3" i="1"/>
  <c r="H3" i="1"/>
  <c r="M3" i="1" s="1" a="1"/>
  <c r="M3" i="1" s="1"/>
  <c r="G3" i="1" a="1"/>
  <c r="G3" i="1" s="1"/>
  <c r="F3" i="1" a="1"/>
  <c r="F3" i="1" s="1"/>
  <c r="L2" i="1"/>
  <c r="K2" i="1"/>
  <c r="J2" i="1"/>
  <c r="I2" i="1"/>
  <c r="H2" i="1"/>
  <c r="M2" i="1" s="1" a="1"/>
  <c r="M2" i="1" s="1"/>
  <c r="G2" i="1" a="1"/>
  <c r="G2" i="1" s="1"/>
  <c r="F2" i="1" a="1"/>
  <c r="F2" i="1" s="1"/>
  <c r="L48" i="1"/>
  <c r="K48" i="1"/>
  <c r="J48" i="1"/>
  <c r="I48" i="1"/>
  <c r="H48" i="1"/>
  <c r="M48" i="1" s="1" a="1"/>
  <c r="M48" i="1" s="1"/>
  <c r="G48" i="1" a="1"/>
  <c r="G48" i="1" s="1"/>
  <c r="F48" i="1" a="1"/>
  <c r="F48" i="1" s="1"/>
  <c r="L47" i="1"/>
  <c r="K47" i="1"/>
  <c r="J47" i="1"/>
  <c r="I47" i="1"/>
  <c r="H47" i="1"/>
  <c r="M47" i="1" s="1" a="1"/>
  <c r="M47" i="1" s="1"/>
  <c r="G47" i="1" a="1"/>
  <c r="G47" i="1" s="1"/>
  <c r="F47" i="1" a="1"/>
  <c r="F47" i="1" s="1"/>
  <c r="L306" i="1"/>
  <c r="K306" i="1"/>
  <c r="J306" i="1"/>
  <c r="I306" i="1"/>
  <c r="H306" i="1"/>
  <c r="M306" i="1" s="1" a="1"/>
  <c r="M306" i="1" s="1"/>
  <c r="G306" i="1" a="1"/>
  <c r="G306" i="1" s="1"/>
  <c r="F306" i="1" a="1"/>
  <c r="F306" i="1" s="1"/>
  <c r="L305" i="1"/>
  <c r="K305" i="1"/>
  <c r="J305" i="1"/>
  <c r="I305" i="1"/>
  <c r="H305" i="1"/>
  <c r="M305" i="1" s="1" a="1"/>
  <c r="M305" i="1" s="1"/>
  <c r="G305" i="1" a="1"/>
  <c r="G305" i="1" s="1"/>
  <c r="F305" i="1" a="1"/>
  <c r="F305" i="1" s="1"/>
  <c r="L304" i="1"/>
  <c r="K304" i="1"/>
  <c r="J304" i="1"/>
  <c r="I304" i="1"/>
  <c r="H304" i="1"/>
  <c r="M304" i="1" s="1" a="1"/>
  <c r="M304" i="1" s="1"/>
  <c r="G304" i="1" a="1"/>
  <c r="G304" i="1" s="1"/>
  <c r="F304" i="1" a="1"/>
  <c r="F304" i="1" s="1"/>
  <c r="L303" i="1"/>
  <c r="K303" i="1"/>
  <c r="J303" i="1"/>
  <c r="I303" i="1"/>
  <c r="H303" i="1"/>
  <c r="M303" i="1" s="1" a="1"/>
  <c r="M303" i="1" s="1"/>
  <c r="G303" i="1" a="1"/>
  <c r="G303" i="1" s="1"/>
  <c r="F303" i="1" a="1"/>
  <c r="F303" i="1" s="1"/>
  <c r="L299" i="1"/>
  <c r="K299" i="1"/>
  <c r="J299" i="1"/>
  <c r="I299" i="1"/>
  <c r="H299" i="1"/>
  <c r="M299" i="1" s="1" a="1"/>
  <c r="M299" i="1" s="1"/>
  <c r="G299" i="1" a="1"/>
  <c r="G299" i="1" s="1"/>
  <c r="F299" i="1" a="1"/>
  <c r="F299" i="1" s="1"/>
  <c r="L298" i="1"/>
  <c r="K298" i="1"/>
  <c r="J298" i="1"/>
  <c r="I298" i="1"/>
  <c r="H298" i="1"/>
  <c r="M298" i="1" s="1" a="1"/>
  <c r="M298" i="1" s="1"/>
  <c r="G298" i="1" a="1"/>
  <c r="G298" i="1" s="1"/>
  <c r="F298" i="1" a="1"/>
  <c r="F298" i="1" s="1"/>
  <c r="L297" i="1"/>
  <c r="K297" i="1"/>
  <c r="J297" i="1"/>
  <c r="I297" i="1"/>
  <c r="H297" i="1"/>
  <c r="M297" i="1" s="1" a="1"/>
  <c r="M297" i="1" s="1"/>
  <c r="G297" i="1" a="1"/>
  <c r="G297" i="1" s="1"/>
  <c r="F297" i="1" a="1"/>
  <c r="F297" i="1" s="1"/>
  <c r="L296" i="1"/>
  <c r="K296" i="1"/>
  <c r="J296" i="1"/>
  <c r="I296" i="1"/>
  <c r="H296" i="1"/>
  <c r="M296" i="1" s="1" a="1"/>
  <c r="M296" i="1" s="1"/>
  <c r="G296" i="1" a="1"/>
  <c r="G296" i="1" s="1"/>
  <c r="F296" i="1" a="1"/>
  <c r="F296" i="1" s="1"/>
  <c r="L289" i="1"/>
  <c r="K289" i="1"/>
  <c r="J289" i="1"/>
  <c r="I289" i="1"/>
  <c r="H289" i="1"/>
  <c r="M289" i="1" s="1" a="1"/>
  <c r="M289" i="1" s="1"/>
  <c r="G289" i="1" a="1"/>
  <c r="G289" i="1" s="1"/>
  <c r="F289" i="1" a="1"/>
  <c r="F289" i="1" s="1"/>
  <c r="L288" i="1"/>
  <c r="K288" i="1"/>
  <c r="J288" i="1"/>
  <c r="I288" i="1"/>
  <c r="H288" i="1"/>
  <c r="M288" i="1" s="1" a="1"/>
  <c r="M288" i="1" s="1"/>
  <c r="G288" i="1" a="1"/>
  <c r="G288" i="1" s="1"/>
  <c r="F288" i="1" a="1"/>
  <c r="F288" i="1" s="1"/>
  <c r="L287" i="1"/>
  <c r="K287" i="1"/>
  <c r="J287" i="1"/>
  <c r="I287" i="1"/>
  <c r="H287" i="1"/>
  <c r="M287" i="1" s="1" a="1"/>
  <c r="M287" i="1" s="1"/>
  <c r="G287" i="1" a="1"/>
  <c r="G287" i="1" s="1"/>
  <c r="F287" i="1" a="1"/>
  <c r="F287" i="1" s="1"/>
  <c r="L286" i="1"/>
  <c r="K286" i="1"/>
  <c r="J286" i="1"/>
  <c r="I286" i="1"/>
  <c r="H286" i="1"/>
  <c r="M286" i="1" s="1" a="1"/>
  <c r="M286" i="1" s="1"/>
  <c r="G286" i="1" a="1"/>
  <c r="G286" i="1" s="1"/>
  <c r="F286" i="1" a="1"/>
  <c r="F286" i="1" s="1"/>
  <c r="L285" i="1"/>
  <c r="K285" i="1"/>
  <c r="J285" i="1"/>
  <c r="I285" i="1"/>
  <c r="H285" i="1"/>
  <c r="M285" i="1" s="1" a="1"/>
  <c r="M285" i="1" s="1"/>
  <c r="G285" i="1" a="1"/>
  <c r="G285" i="1" s="1"/>
  <c r="F285" i="1" a="1"/>
  <c r="F285" i="1" s="1"/>
  <c r="L284" i="1"/>
  <c r="K284" i="1"/>
  <c r="J284" i="1"/>
  <c r="I284" i="1"/>
  <c r="H284" i="1"/>
  <c r="M284" i="1" s="1" a="1"/>
  <c r="M284" i="1" s="1"/>
  <c r="G284" i="1" a="1"/>
  <c r="G284" i="1" s="1"/>
  <c r="F284" i="1" a="1"/>
  <c r="F284" i="1" s="1"/>
  <c r="L283" i="1"/>
  <c r="K283" i="1"/>
  <c r="J283" i="1"/>
  <c r="I283" i="1"/>
  <c r="H283" i="1"/>
  <c r="M283" i="1" s="1" a="1"/>
  <c r="M283" i="1" s="1"/>
  <c r="G283" i="1" a="1"/>
  <c r="G283" i="1" s="1"/>
  <c r="F283" i="1" a="1"/>
  <c r="F283" i="1" s="1"/>
  <c r="L282" i="1"/>
  <c r="K282" i="1"/>
  <c r="J282" i="1"/>
  <c r="I282" i="1"/>
  <c r="H282" i="1"/>
  <c r="M282" i="1" s="1" a="1"/>
  <c r="M282" i="1" s="1"/>
  <c r="G282" i="1" a="1"/>
  <c r="G282" i="1" s="1"/>
  <c r="F282" i="1" a="1"/>
  <c r="F282" i="1" s="1"/>
  <c r="L266" i="1"/>
  <c r="K266" i="1"/>
  <c r="J266" i="1"/>
  <c r="I266" i="1"/>
  <c r="H266" i="1"/>
  <c r="M266" i="1" s="1" a="1"/>
  <c r="M266" i="1" s="1"/>
  <c r="G266" i="1" a="1"/>
  <c r="G266" i="1" s="1"/>
  <c r="F266" i="1" a="1"/>
  <c r="F266" i="1" s="1"/>
  <c r="L265" i="1"/>
  <c r="K265" i="1"/>
  <c r="J265" i="1"/>
  <c r="I265" i="1"/>
  <c r="H265" i="1"/>
  <c r="M265" i="1" s="1" a="1"/>
  <c r="M265" i="1" s="1"/>
  <c r="G265" i="1" a="1"/>
  <c r="G265" i="1" s="1"/>
  <c r="F265" i="1" a="1"/>
  <c r="F265" i="1" s="1"/>
  <c r="L264" i="1"/>
  <c r="K264" i="1"/>
  <c r="J264" i="1"/>
  <c r="I264" i="1"/>
  <c r="H264" i="1"/>
  <c r="M264" i="1" s="1" a="1"/>
  <c r="M264" i="1" s="1"/>
  <c r="G264" i="1" a="1"/>
  <c r="G264" i="1" s="1"/>
  <c r="F264" i="1" a="1"/>
  <c r="F264" i="1" s="1"/>
  <c r="L263" i="1"/>
  <c r="K263" i="1"/>
  <c r="J263" i="1"/>
  <c r="I263" i="1"/>
  <c r="H263" i="1"/>
  <c r="M263" i="1" s="1" a="1"/>
  <c r="M263" i="1" s="1"/>
  <c r="G263" i="1" a="1"/>
  <c r="G263" i="1" s="1"/>
  <c r="F263" i="1" a="1"/>
  <c r="F263" i="1" s="1"/>
  <c r="L262" i="1"/>
  <c r="K262" i="1"/>
  <c r="J262" i="1"/>
  <c r="I262" i="1"/>
  <c r="H262" i="1"/>
  <c r="M262" i="1" s="1" a="1"/>
  <c r="M262" i="1" s="1"/>
  <c r="G262" i="1" a="1"/>
  <c r="G262" i="1" s="1"/>
  <c r="F262" i="1" a="1"/>
  <c r="F262" i="1" s="1"/>
  <c r="L261" i="1"/>
  <c r="K261" i="1"/>
  <c r="J261" i="1"/>
  <c r="I261" i="1"/>
  <c r="H261" i="1"/>
  <c r="M261" i="1" s="1" a="1"/>
  <c r="M261" i="1" s="1"/>
  <c r="G261" i="1" a="1"/>
  <c r="G261" i="1" s="1"/>
  <c r="F261" i="1" a="1"/>
  <c r="F261" i="1" s="1"/>
  <c r="L260" i="1"/>
  <c r="K260" i="1"/>
  <c r="J260" i="1"/>
  <c r="I260" i="1"/>
  <c r="H260" i="1"/>
  <c r="M260" i="1" s="1" a="1"/>
  <c r="M260" i="1" s="1"/>
  <c r="G260" i="1" a="1"/>
  <c r="G260" i="1" s="1"/>
  <c r="F260" i="1" a="1"/>
  <c r="F260" i="1" s="1"/>
  <c r="L259" i="1"/>
  <c r="K259" i="1"/>
  <c r="J259" i="1"/>
  <c r="I259" i="1"/>
  <c r="H259" i="1"/>
  <c r="M259" i="1" s="1" a="1"/>
  <c r="M259" i="1" s="1"/>
  <c r="G259" i="1" a="1"/>
  <c r="G259" i="1" s="1"/>
  <c r="F259" i="1" a="1"/>
  <c r="F259" i="1" s="1"/>
  <c r="L258" i="1"/>
  <c r="K258" i="1"/>
  <c r="J258" i="1"/>
  <c r="I258" i="1"/>
  <c r="H258" i="1"/>
  <c r="M258" i="1" s="1" a="1"/>
  <c r="M258" i="1" s="1"/>
  <c r="G258" i="1" a="1"/>
  <c r="G258" i="1" s="1"/>
  <c r="F258" i="1" a="1"/>
  <c r="F258" i="1" s="1"/>
  <c r="L257" i="1"/>
  <c r="K257" i="1"/>
  <c r="J257" i="1"/>
  <c r="I257" i="1"/>
  <c r="H257" i="1"/>
  <c r="M257" i="1" s="1" a="1"/>
  <c r="M257" i="1" s="1"/>
  <c r="G257" i="1" a="1"/>
  <c r="G257" i="1" s="1"/>
  <c r="F257" i="1" a="1"/>
  <c r="F257" i="1" s="1"/>
  <c r="L256" i="1"/>
  <c r="K256" i="1"/>
  <c r="J256" i="1"/>
  <c r="I256" i="1"/>
  <c r="H256" i="1"/>
  <c r="M256" i="1" s="1" a="1"/>
  <c r="M256" i="1" s="1"/>
  <c r="G256" i="1" a="1"/>
  <c r="G256" i="1" s="1"/>
  <c r="F256" i="1" a="1"/>
  <c r="F256" i="1" s="1"/>
  <c r="L247" i="1"/>
  <c r="K247" i="1"/>
  <c r="J247" i="1"/>
  <c r="I247" i="1"/>
  <c r="H247" i="1"/>
  <c r="M247" i="1" s="1" a="1"/>
  <c r="M247" i="1" s="1"/>
  <c r="G247" i="1" a="1"/>
  <c r="G247" i="1" s="1"/>
  <c r="F247" i="1" a="1"/>
  <c r="F247" i="1" s="1"/>
  <c r="L246" i="1"/>
  <c r="K246" i="1"/>
  <c r="J246" i="1"/>
  <c r="I246" i="1"/>
  <c r="H246" i="1"/>
  <c r="M246" i="1" s="1" a="1"/>
  <c r="M246" i="1" s="1"/>
  <c r="G246" i="1" a="1"/>
  <c r="G246" i="1" s="1"/>
  <c r="F246" i="1" a="1"/>
  <c r="F246" i="1" s="1"/>
  <c r="L245" i="1"/>
  <c r="K245" i="1"/>
  <c r="J245" i="1"/>
  <c r="I245" i="1"/>
  <c r="H245" i="1"/>
  <c r="M245" i="1" s="1" a="1"/>
  <c r="M245" i="1" s="1"/>
  <c r="G245" i="1" a="1"/>
  <c r="G245" i="1" s="1"/>
  <c r="F245" i="1" a="1"/>
  <c r="F245" i="1" s="1"/>
  <c r="L244" i="1"/>
  <c r="K244" i="1"/>
  <c r="J244" i="1"/>
  <c r="I244" i="1"/>
  <c r="H244" i="1"/>
  <c r="M244" i="1" s="1" a="1"/>
  <c r="M244" i="1" s="1"/>
  <c r="G244" i="1" a="1"/>
  <c r="G244" i="1" s="1"/>
  <c r="F244" i="1" a="1"/>
  <c r="F244" i="1" s="1"/>
  <c r="L243" i="1"/>
  <c r="K243" i="1"/>
  <c r="J243" i="1"/>
  <c r="I243" i="1"/>
  <c r="H243" i="1"/>
  <c r="M243" i="1" s="1" a="1"/>
  <c r="M243" i="1" s="1"/>
  <c r="G243" i="1" a="1"/>
  <c r="G243" i="1" s="1"/>
  <c r="F243" i="1" a="1"/>
  <c r="F243" i="1" s="1"/>
  <c r="L242" i="1"/>
  <c r="K242" i="1"/>
  <c r="J242" i="1"/>
  <c r="I242" i="1"/>
  <c r="H242" i="1"/>
  <c r="M242" i="1" s="1" a="1"/>
  <c r="M242" i="1" s="1"/>
  <c r="G242" i="1" a="1"/>
  <c r="G242" i="1" s="1"/>
  <c r="F242" i="1" a="1"/>
  <c r="F242" i="1" s="1"/>
  <c r="L241" i="1"/>
  <c r="K241" i="1"/>
  <c r="J241" i="1"/>
  <c r="I241" i="1"/>
  <c r="H241" i="1"/>
  <c r="M241" i="1" s="1" a="1"/>
  <c r="M241" i="1" s="1"/>
  <c r="G241" i="1" a="1"/>
  <c r="G241" i="1" s="1"/>
  <c r="F241" i="1" a="1"/>
  <c r="F241" i="1" s="1"/>
  <c r="L240" i="1"/>
  <c r="K240" i="1"/>
  <c r="J240" i="1"/>
  <c r="I240" i="1"/>
  <c r="H240" i="1"/>
  <c r="M240" i="1" s="1" a="1"/>
  <c r="M240" i="1" s="1"/>
  <c r="G240" i="1" a="1"/>
  <c r="G240" i="1" s="1"/>
  <c r="F240" i="1" a="1"/>
  <c r="F240" i="1" s="1"/>
  <c r="L239" i="1"/>
  <c r="K239" i="1"/>
  <c r="J239" i="1"/>
  <c r="I239" i="1"/>
  <c r="H239" i="1"/>
  <c r="M239" i="1" s="1" a="1"/>
  <c r="M239" i="1" s="1"/>
  <c r="G239" i="1" a="1"/>
  <c r="G239" i="1" s="1"/>
  <c r="F239" i="1" a="1"/>
  <c r="F239" i="1" s="1"/>
  <c r="L238" i="1"/>
  <c r="K238" i="1"/>
  <c r="J238" i="1"/>
  <c r="I238" i="1"/>
  <c r="H238" i="1"/>
  <c r="M238" i="1" s="1" a="1"/>
  <c r="M238" i="1" s="1"/>
  <c r="G238" i="1" a="1"/>
  <c r="G238" i="1" s="1"/>
  <c r="F238" i="1" a="1"/>
  <c r="F238" i="1" s="1"/>
  <c r="L237" i="1"/>
  <c r="K237" i="1"/>
  <c r="J237" i="1"/>
  <c r="I237" i="1"/>
  <c r="H237" i="1"/>
  <c r="M237" i="1" s="1" a="1"/>
  <c r="M237" i="1" s="1"/>
  <c r="G237" i="1" a="1"/>
  <c r="G237" i="1" s="1"/>
  <c r="F237" i="1" a="1"/>
  <c r="F237" i="1" s="1"/>
  <c r="L236" i="1"/>
  <c r="K236" i="1"/>
  <c r="J236" i="1"/>
  <c r="I236" i="1"/>
  <c r="H236" i="1"/>
  <c r="M236" i="1" s="1" a="1"/>
  <c r="M236" i="1" s="1"/>
  <c r="G236" i="1" a="1"/>
  <c r="G236" i="1" s="1"/>
  <c r="F236" i="1" a="1"/>
  <c r="F236" i="1" s="1"/>
  <c r="L235" i="1"/>
  <c r="K235" i="1"/>
  <c r="J235" i="1"/>
  <c r="I235" i="1"/>
  <c r="H235" i="1"/>
  <c r="M235" i="1" s="1" a="1"/>
  <c r="M235" i="1" s="1"/>
  <c r="G235" i="1" a="1"/>
  <c r="G235" i="1" s="1"/>
  <c r="F235" i="1" a="1"/>
  <c r="F235" i="1" s="1"/>
  <c r="L234" i="1"/>
  <c r="K234" i="1"/>
  <c r="J234" i="1"/>
  <c r="I234" i="1"/>
  <c r="H234" i="1"/>
  <c r="M234" i="1" s="1" a="1"/>
  <c r="M234" i="1" s="1"/>
  <c r="G234" i="1" a="1"/>
  <c r="G234" i="1" s="1"/>
  <c r="F234" i="1" a="1"/>
  <c r="F234" i="1" s="1"/>
  <c r="L233" i="1"/>
  <c r="K233" i="1"/>
  <c r="J233" i="1"/>
  <c r="I233" i="1"/>
  <c r="H233" i="1"/>
  <c r="M233" i="1" s="1" a="1"/>
  <c r="M233" i="1" s="1"/>
  <c r="G233" i="1" a="1"/>
  <c r="G233" i="1" s="1"/>
  <c r="F233" i="1" a="1"/>
  <c r="F233" i="1" s="1"/>
  <c r="L232" i="1"/>
  <c r="K232" i="1"/>
  <c r="J232" i="1"/>
  <c r="I232" i="1"/>
  <c r="H232" i="1"/>
  <c r="M232" i="1" s="1" a="1"/>
  <c r="M232" i="1" s="1"/>
  <c r="G232" i="1" a="1"/>
  <c r="G232" i="1" s="1"/>
  <c r="F232" i="1" a="1"/>
  <c r="F232" i="1" s="1"/>
  <c r="L231" i="1"/>
  <c r="K231" i="1"/>
  <c r="J231" i="1"/>
  <c r="I231" i="1"/>
  <c r="H231" i="1"/>
  <c r="M231" i="1" s="1" a="1"/>
  <c r="M231" i="1" s="1"/>
  <c r="G231" i="1" a="1"/>
  <c r="G231" i="1" s="1"/>
  <c r="F231" i="1" a="1"/>
  <c r="F231" i="1" s="1"/>
  <c r="L230" i="1"/>
  <c r="K230" i="1"/>
  <c r="J230" i="1"/>
  <c r="I230" i="1"/>
  <c r="H230" i="1"/>
  <c r="M230" i="1" s="1" a="1"/>
  <c r="M230" i="1" s="1"/>
  <c r="G230" i="1" a="1"/>
  <c r="G230" i="1" s="1"/>
  <c r="F230" i="1" a="1"/>
  <c r="F230" i="1" s="1"/>
  <c r="L229" i="1"/>
  <c r="K229" i="1"/>
  <c r="J229" i="1"/>
  <c r="I229" i="1"/>
  <c r="H229" i="1"/>
  <c r="M229" i="1" s="1" a="1"/>
  <c r="M229" i="1" s="1"/>
  <c r="G229" i="1" a="1"/>
  <c r="G229" i="1" s="1"/>
  <c r="F229" i="1" a="1"/>
  <c r="F229" i="1" s="1"/>
  <c r="L228" i="1"/>
  <c r="K228" i="1"/>
  <c r="J228" i="1"/>
  <c r="I228" i="1"/>
  <c r="H228" i="1"/>
  <c r="M228" i="1" s="1" a="1"/>
  <c r="M228" i="1" s="1"/>
  <c r="G228" i="1" a="1"/>
  <c r="G228" i="1" s="1"/>
  <c r="F228" i="1" a="1"/>
  <c r="F228" i="1" s="1"/>
  <c r="L227" i="1"/>
  <c r="K227" i="1"/>
  <c r="J227" i="1"/>
  <c r="I227" i="1"/>
  <c r="H227" i="1"/>
  <c r="M227" i="1" s="1" a="1"/>
  <c r="M227" i="1" s="1"/>
  <c r="G227" i="1" a="1"/>
  <c r="G227" i="1" s="1"/>
  <c r="F227" i="1" a="1"/>
  <c r="F227" i="1" s="1"/>
  <c r="L226" i="1"/>
  <c r="K226" i="1"/>
  <c r="J226" i="1"/>
  <c r="I226" i="1"/>
  <c r="H226" i="1"/>
  <c r="M226" i="1" s="1" a="1"/>
  <c r="M226" i="1" s="1"/>
  <c r="G226" i="1" a="1"/>
  <c r="G226" i="1" s="1"/>
  <c r="F226" i="1" a="1"/>
  <c r="F226" i="1" s="1"/>
  <c r="L225" i="1"/>
  <c r="K225" i="1"/>
  <c r="J225" i="1"/>
  <c r="I225" i="1"/>
  <c r="H225" i="1"/>
  <c r="M225" i="1" s="1" a="1"/>
  <c r="M225" i="1" s="1"/>
  <c r="G225" i="1" a="1"/>
  <c r="G225" i="1" s="1"/>
  <c r="F225" i="1" a="1"/>
  <c r="F225" i="1" s="1"/>
  <c r="L224" i="1"/>
  <c r="K224" i="1"/>
  <c r="J224" i="1"/>
  <c r="I224" i="1"/>
  <c r="H224" i="1"/>
  <c r="M224" i="1" s="1" a="1"/>
  <c r="M224" i="1" s="1"/>
  <c r="G224" i="1" a="1"/>
  <c r="G224" i="1" s="1"/>
  <c r="F224" i="1" a="1"/>
  <c r="F224" i="1" s="1"/>
  <c r="L223" i="1"/>
  <c r="K223" i="1"/>
  <c r="J223" i="1"/>
  <c r="I223" i="1"/>
  <c r="H223" i="1"/>
  <c r="M223" i="1" s="1" a="1"/>
  <c r="M223" i="1" s="1"/>
  <c r="G223" i="1" a="1"/>
  <c r="G223" i="1" s="1"/>
  <c r="F223" i="1" a="1"/>
  <c r="F223" i="1" s="1"/>
  <c r="L222" i="1"/>
  <c r="K222" i="1"/>
  <c r="J222" i="1"/>
  <c r="I222" i="1"/>
  <c r="H222" i="1"/>
  <c r="M222" i="1" s="1" a="1"/>
  <c r="M222" i="1" s="1"/>
  <c r="G222" i="1" a="1"/>
  <c r="G222" i="1" s="1"/>
  <c r="F222" i="1" a="1"/>
  <c r="F222" i="1" s="1"/>
  <c r="L221" i="1"/>
  <c r="K221" i="1"/>
  <c r="J221" i="1"/>
  <c r="I221" i="1"/>
  <c r="H221" i="1"/>
  <c r="M221" i="1" s="1" a="1"/>
  <c r="M221" i="1" s="1"/>
  <c r="G221" i="1" a="1"/>
  <c r="G221" i="1" s="1"/>
  <c r="F221" i="1" a="1"/>
  <c r="F221" i="1" s="1"/>
  <c r="L220" i="1"/>
  <c r="K220" i="1"/>
  <c r="J220" i="1"/>
  <c r="I220" i="1"/>
  <c r="H220" i="1"/>
  <c r="M220" i="1" s="1" a="1"/>
  <c r="M220" i="1" s="1"/>
  <c r="G220" i="1" a="1"/>
  <c r="G220" i="1" s="1"/>
  <c r="F220" i="1" a="1"/>
  <c r="F220" i="1" s="1"/>
  <c r="L219" i="1"/>
  <c r="K219" i="1"/>
  <c r="J219" i="1"/>
  <c r="I219" i="1"/>
  <c r="H219" i="1"/>
  <c r="M219" i="1" s="1" a="1"/>
  <c r="M219" i="1" s="1"/>
  <c r="G219" i="1" a="1"/>
  <c r="G219" i="1" s="1"/>
  <c r="F219" i="1" a="1"/>
  <c r="F219" i="1" s="1"/>
  <c r="L218" i="1"/>
  <c r="K218" i="1"/>
  <c r="J218" i="1"/>
  <c r="I218" i="1"/>
  <c r="H218" i="1"/>
  <c r="M218" i="1" s="1" a="1"/>
  <c r="M218" i="1" s="1"/>
  <c r="G218" i="1" a="1"/>
  <c r="G218" i="1" s="1"/>
  <c r="F218" i="1" a="1"/>
  <c r="F218" i="1" s="1"/>
  <c r="L217" i="1"/>
  <c r="K217" i="1"/>
  <c r="J217" i="1"/>
  <c r="I217" i="1"/>
  <c r="H217" i="1"/>
  <c r="M217" i="1" s="1" a="1"/>
  <c r="M217" i="1" s="1"/>
  <c r="G217" i="1" a="1"/>
  <c r="G217" i="1" s="1"/>
  <c r="F217" i="1" a="1"/>
  <c r="F217" i="1" s="1"/>
  <c r="L216" i="1"/>
  <c r="K216" i="1"/>
  <c r="J216" i="1"/>
  <c r="I216" i="1"/>
  <c r="H216" i="1"/>
  <c r="M216" i="1" s="1" a="1"/>
  <c r="M216" i="1" s="1"/>
  <c r="G216" i="1" a="1"/>
  <c r="G216" i="1" s="1"/>
  <c r="F216" i="1" a="1"/>
  <c r="F216" i="1" s="1"/>
  <c r="L215" i="1"/>
  <c r="K215" i="1"/>
  <c r="J215" i="1"/>
  <c r="I215" i="1"/>
  <c r="H215" i="1"/>
  <c r="M215" i="1" s="1" a="1"/>
  <c r="M215" i="1" s="1"/>
  <c r="G215" i="1" a="1"/>
  <c r="G215" i="1" s="1"/>
  <c r="F215" i="1" a="1"/>
  <c r="F215" i="1" s="1"/>
  <c r="L214" i="1"/>
  <c r="K214" i="1"/>
  <c r="J214" i="1"/>
  <c r="I214" i="1"/>
  <c r="H214" i="1"/>
  <c r="M214" i="1" s="1" a="1"/>
  <c r="M214" i="1" s="1"/>
  <c r="G214" i="1" a="1"/>
  <c r="G214" i="1" s="1"/>
  <c r="F214" i="1" a="1"/>
  <c r="F214" i="1" s="1"/>
  <c r="L213" i="1"/>
  <c r="K213" i="1"/>
  <c r="J213" i="1"/>
  <c r="I213" i="1"/>
  <c r="H213" i="1"/>
  <c r="M213" i="1" s="1" a="1"/>
  <c r="M213" i="1" s="1"/>
  <c r="G213" i="1" a="1"/>
  <c r="G213" i="1" s="1"/>
  <c r="F213" i="1" a="1"/>
  <c r="F213" i="1" s="1"/>
  <c r="L212" i="1"/>
  <c r="K212" i="1"/>
  <c r="J212" i="1"/>
  <c r="I212" i="1"/>
  <c r="H212" i="1"/>
  <c r="M212" i="1" s="1" a="1"/>
  <c r="M212" i="1" s="1"/>
  <c r="G212" i="1" a="1"/>
  <c r="G212" i="1" s="1"/>
  <c r="F212" i="1" a="1"/>
  <c r="F212" i="1" s="1"/>
  <c r="L211" i="1"/>
  <c r="K211" i="1"/>
  <c r="J211" i="1"/>
  <c r="I211" i="1"/>
  <c r="H211" i="1"/>
  <c r="M211" i="1" s="1" a="1"/>
  <c r="M211" i="1" s="1"/>
  <c r="G211" i="1" a="1"/>
  <c r="G211" i="1" s="1"/>
  <c r="F211" i="1" a="1"/>
  <c r="F211" i="1" s="1"/>
  <c r="L210" i="1"/>
  <c r="K210" i="1"/>
  <c r="J210" i="1"/>
  <c r="I210" i="1"/>
  <c r="H210" i="1"/>
  <c r="M210" i="1" s="1" a="1"/>
  <c r="M210" i="1" s="1"/>
  <c r="G210" i="1" a="1"/>
  <c r="G210" i="1" s="1"/>
  <c r="F210" i="1" a="1"/>
  <c r="F210" i="1" s="1"/>
  <c r="L209" i="1"/>
  <c r="K209" i="1"/>
  <c r="J209" i="1"/>
  <c r="I209" i="1"/>
  <c r="H209" i="1"/>
  <c r="M209" i="1" s="1" a="1"/>
  <c r="M209" i="1" s="1"/>
  <c r="G209" i="1" a="1"/>
  <c r="G209" i="1" s="1"/>
  <c r="F209" i="1" a="1"/>
  <c r="F209" i="1" s="1"/>
  <c r="L208" i="1"/>
  <c r="K208" i="1"/>
  <c r="J208" i="1"/>
  <c r="I208" i="1"/>
  <c r="H208" i="1"/>
  <c r="M208" i="1" s="1" a="1"/>
  <c r="M208" i="1" s="1"/>
  <c r="G208" i="1" a="1"/>
  <c r="G208" i="1" s="1"/>
  <c r="F208" i="1" a="1"/>
  <c r="F208" i="1" s="1"/>
  <c r="L197" i="1"/>
  <c r="K197" i="1"/>
  <c r="J197" i="1"/>
  <c r="I197" i="1"/>
  <c r="H197" i="1"/>
  <c r="M197" i="1" s="1" a="1"/>
  <c r="M197" i="1" s="1"/>
  <c r="G197" i="1" a="1"/>
  <c r="G197" i="1" s="1"/>
  <c r="F197" i="1" a="1"/>
  <c r="F197" i="1" s="1"/>
  <c r="L196" i="1"/>
  <c r="K196" i="1"/>
  <c r="J196" i="1"/>
  <c r="I196" i="1"/>
  <c r="H196" i="1"/>
  <c r="M196" i="1" s="1" a="1"/>
  <c r="M196" i="1" s="1"/>
  <c r="G196" i="1" a="1"/>
  <c r="G196" i="1" s="1"/>
  <c r="F196" i="1" a="1"/>
  <c r="F196" i="1" s="1"/>
  <c r="L195" i="1"/>
  <c r="K195" i="1"/>
  <c r="J195" i="1"/>
  <c r="I195" i="1"/>
  <c r="H195" i="1"/>
  <c r="M195" i="1" s="1" a="1"/>
  <c r="M195" i="1" s="1"/>
  <c r="G195" i="1" a="1"/>
  <c r="G195" i="1" s="1"/>
  <c r="F195" i="1" a="1"/>
  <c r="F195" i="1" s="1"/>
  <c r="L194" i="1"/>
  <c r="K194" i="1"/>
  <c r="J194" i="1"/>
  <c r="I194" i="1"/>
  <c r="H194" i="1"/>
  <c r="M194" i="1" s="1" a="1"/>
  <c r="M194" i="1" s="1"/>
  <c r="G194" i="1" a="1"/>
  <c r="G194" i="1" s="1"/>
  <c r="F194" i="1" a="1"/>
  <c r="F194" i="1" s="1"/>
  <c r="L193" i="1"/>
  <c r="K193" i="1"/>
  <c r="J193" i="1"/>
  <c r="I193" i="1"/>
  <c r="H193" i="1"/>
  <c r="M193" i="1" s="1" a="1"/>
  <c r="M193" i="1" s="1"/>
  <c r="G193" i="1" a="1"/>
  <c r="G193" i="1" s="1"/>
  <c r="F193" i="1" a="1"/>
  <c r="F193" i="1" s="1"/>
  <c r="L192" i="1"/>
  <c r="K192" i="1"/>
  <c r="J192" i="1"/>
  <c r="I192" i="1"/>
  <c r="H192" i="1"/>
  <c r="M192" i="1" s="1" a="1"/>
  <c r="M192" i="1" s="1"/>
  <c r="G192" i="1" a="1"/>
  <c r="G192" i="1" s="1"/>
  <c r="F192" i="1" a="1"/>
  <c r="F192" i="1" s="1"/>
  <c r="L191" i="1"/>
  <c r="K191" i="1"/>
  <c r="J191" i="1"/>
  <c r="I191" i="1"/>
  <c r="H191" i="1"/>
  <c r="M191" i="1" s="1" a="1"/>
  <c r="M191" i="1" s="1"/>
  <c r="G191" i="1" a="1"/>
  <c r="G191" i="1" s="1"/>
  <c r="F191" i="1" a="1"/>
  <c r="F191" i="1" s="1"/>
  <c r="L190" i="1"/>
  <c r="K190" i="1"/>
  <c r="J190" i="1"/>
  <c r="I190" i="1"/>
  <c r="H190" i="1"/>
  <c r="M190" i="1" s="1" a="1"/>
  <c r="M190" i="1" s="1"/>
  <c r="G190" i="1" a="1"/>
  <c r="G190" i="1" s="1"/>
  <c r="F190" i="1" a="1"/>
  <c r="F190" i="1" s="1"/>
  <c r="L189" i="1"/>
  <c r="K189" i="1"/>
  <c r="J189" i="1"/>
  <c r="I189" i="1"/>
  <c r="H189" i="1"/>
  <c r="M189" i="1" s="1" a="1"/>
  <c r="M189" i="1" s="1"/>
  <c r="G189" i="1" a="1"/>
  <c r="G189" i="1" s="1"/>
  <c r="F189" i="1" a="1"/>
  <c r="F189" i="1" s="1"/>
  <c r="L188" i="1"/>
  <c r="K188" i="1"/>
  <c r="J188" i="1"/>
  <c r="I188" i="1"/>
  <c r="H188" i="1"/>
  <c r="M188" i="1" s="1" a="1"/>
  <c r="M188" i="1" s="1"/>
  <c r="G188" i="1" a="1"/>
  <c r="G188" i="1" s="1"/>
  <c r="F188" i="1" a="1"/>
  <c r="F188" i="1" s="1"/>
  <c r="L187" i="1"/>
  <c r="K187" i="1"/>
  <c r="J187" i="1"/>
  <c r="I187" i="1"/>
  <c r="H187" i="1"/>
  <c r="M187" i="1" s="1" a="1"/>
  <c r="M187" i="1" s="1"/>
  <c r="G187" i="1" a="1"/>
  <c r="G187" i="1" s="1"/>
  <c r="F187" i="1" a="1"/>
  <c r="F187" i="1" s="1"/>
  <c r="L186" i="1"/>
  <c r="K186" i="1"/>
  <c r="J186" i="1"/>
  <c r="I186" i="1"/>
  <c r="H186" i="1"/>
  <c r="M186" i="1" s="1" a="1"/>
  <c r="M186" i="1" s="1"/>
  <c r="G186" i="1" a="1"/>
  <c r="G186" i="1" s="1"/>
  <c r="F186" i="1" a="1"/>
  <c r="F186" i="1" s="1"/>
  <c r="L185" i="1"/>
  <c r="K185" i="1"/>
  <c r="J185" i="1"/>
  <c r="I185" i="1"/>
  <c r="H185" i="1"/>
  <c r="M185" i="1" s="1" a="1"/>
  <c r="M185" i="1" s="1"/>
  <c r="G185" i="1" a="1"/>
  <c r="G185" i="1" s="1"/>
  <c r="F185" i="1" a="1"/>
  <c r="F185" i="1" s="1"/>
  <c r="L184" i="1"/>
  <c r="K184" i="1"/>
  <c r="J184" i="1"/>
  <c r="I184" i="1"/>
  <c r="H184" i="1"/>
  <c r="M184" i="1" s="1" a="1"/>
  <c r="M184" i="1" s="1"/>
  <c r="G184" i="1" a="1"/>
  <c r="G184" i="1" s="1"/>
  <c r="F184" i="1" a="1"/>
  <c r="F184" i="1" s="1"/>
  <c r="L173" i="1"/>
  <c r="K173" i="1"/>
  <c r="J173" i="1"/>
  <c r="I173" i="1"/>
  <c r="H173" i="1"/>
  <c r="M173" i="1" s="1" a="1"/>
  <c r="M173" i="1" s="1"/>
  <c r="G173" i="1" a="1"/>
  <c r="G173" i="1" s="1"/>
  <c r="F173" i="1" a="1"/>
  <c r="F173" i="1" s="1"/>
  <c r="L172" i="1"/>
  <c r="K172" i="1"/>
  <c r="J172" i="1"/>
  <c r="I172" i="1"/>
  <c r="H172" i="1"/>
  <c r="M172" i="1" s="1" a="1"/>
  <c r="M172" i="1" s="1"/>
  <c r="G172" i="1" a="1"/>
  <c r="G172" i="1" s="1"/>
  <c r="F172" i="1" a="1"/>
  <c r="F172" i="1" s="1"/>
  <c r="L171" i="1"/>
  <c r="K171" i="1"/>
  <c r="J171" i="1"/>
  <c r="I171" i="1"/>
  <c r="H171" i="1"/>
  <c r="M171" i="1" s="1" a="1"/>
  <c r="M171" i="1" s="1"/>
  <c r="G171" i="1" a="1"/>
  <c r="G171" i="1" s="1"/>
  <c r="F171" i="1" a="1"/>
  <c r="F171" i="1" s="1"/>
  <c r="L170" i="1"/>
  <c r="K170" i="1"/>
  <c r="J170" i="1"/>
  <c r="I170" i="1"/>
  <c r="H170" i="1"/>
  <c r="M170" i="1" s="1" a="1"/>
  <c r="M170" i="1" s="1"/>
  <c r="G170" i="1" a="1"/>
  <c r="G170" i="1" s="1"/>
  <c r="F170" i="1" a="1"/>
  <c r="F170" i="1" s="1"/>
  <c r="L169" i="1"/>
  <c r="K169" i="1"/>
  <c r="J169" i="1"/>
  <c r="I169" i="1"/>
  <c r="H169" i="1"/>
  <c r="M169" i="1" s="1" a="1"/>
  <c r="M169" i="1" s="1"/>
  <c r="G169" i="1" a="1"/>
  <c r="G169" i="1" s="1"/>
  <c r="F169" i="1" a="1"/>
  <c r="F169" i="1" s="1"/>
  <c r="L168" i="1"/>
  <c r="K168" i="1"/>
  <c r="J168" i="1"/>
  <c r="I168" i="1"/>
  <c r="H168" i="1"/>
  <c r="M168" i="1" s="1" a="1"/>
  <c r="M168" i="1" s="1"/>
  <c r="G168" i="1" a="1"/>
  <c r="G168" i="1" s="1"/>
  <c r="F168" i="1" a="1"/>
  <c r="F168" i="1" s="1"/>
  <c r="L167" i="1"/>
  <c r="K167" i="1"/>
  <c r="J167" i="1"/>
  <c r="I167" i="1"/>
  <c r="H167" i="1"/>
  <c r="M167" i="1" s="1" a="1"/>
  <c r="M167" i="1" s="1"/>
  <c r="G167" i="1" a="1"/>
  <c r="G167" i="1" s="1"/>
  <c r="F167" i="1" a="1"/>
  <c r="F167" i="1" s="1"/>
  <c r="L166" i="1"/>
  <c r="K166" i="1"/>
  <c r="J166" i="1"/>
  <c r="I166" i="1"/>
  <c r="H166" i="1"/>
  <c r="M166" i="1" s="1" a="1"/>
  <c r="M166" i="1" s="1"/>
  <c r="G166" i="1" a="1"/>
  <c r="G166" i="1" s="1"/>
  <c r="F166" i="1" a="1"/>
  <c r="F166" i="1" s="1"/>
  <c r="L165" i="1"/>
  <c r="K165" i="1"/>
  <c r="J165" i="1"/>
  <c r="I165" i="1"/>
  <c r="H165" i="1"/>
  <c r="M165" i="1" s="1" a="1"/>
  <c r="M165" i="1" s="1"/>
  <c r="G165" i="1" a="1"/>
  <c r="G165" i="1" s="1"/>
  <c r="F165" i="1" a="1"/>
  <c r="F165" i="1" s="1"/>
  <c r="L164" i="1"/>
  <c r="K164" i="1"/>
  <c r="J164" i="1"/>
  <c r="I164" i="1"/>
  <c r="H164" i="1"/>
  <c r="M164" i="1" s="1" a="1"/>
  <c r="M164" i="1" s="1"/>
  <c r="G164" i="1" a="1"/>
  <c r="G164" i="1" s="1"/>
  <c r="F164" i="1" a="1"/>
  <c r="F164" i="1" s="1"/>
  <c r="L163" i="1"/>
  <c r="K163" i="1"/>
  <c r="J163" i="1"/>
  <c r="I163" i="1"/>
  <c r="H163" i="1"/>
  <c r="M163" i="1" s="1" a="1"/>
  <c r="M163" i="1" s="1"/>
  <c r="G163" i="1" a="1"/>
  <c r="G163" i="1" s="1"/>
  <c r="F163" i="1" a="1"/>
  <c r="F163" i="1" s="1"/>
  <c r="L162" i="1"/>
  <c r="K162" i="1"/>
  <c r="J162" i="1"/>
  <c r="I162" i="1"/>
  <c r="H162" i="1"/>
  <c r="M162" i="1" s="1" a="1"/>
  <c r="M162" i="1" s="1"/>
  <c r="G162" i="1" a="1"/>
  <c r="G162" i="1" s="1"/>
  <c r="F162" i="1" a="1"/>
  <c r="F162" i="1" s="1"/>
  <c r="L161" i="1"/>
  <c r="K161" i="1"/>
  <c r="J161" i="1"/>
  <c r="I161" i="1"/>
  <c r="H161" i="1"/>
  <c r="M161" i="1" s="1" a="1"/>
  <c r="M161" i="1" s="1"/>
  <c r="G161" i="1" a="1"/>
  <c r="G161" i="1" s="1"/>
  <c r="F161" i="1" a="1"/>
  <c r="F161" i="1" s="1"/>
  <c r="L160" i="1"/>
  <c r="K160" i="1"/>
  <c r="J160" i="1"/>
  <c r="I160" i="1"/>
  <c r="H160" i="1"/>
  <c r="M160" i="1" s="1" a="1"/>
  <c r="M160" i="1" s="1"/>
  <c r="G160" i="1" a="1"/>
  <c r="G160" i="1" s="1"/>
  <c r="F160" i="1" a="1"/>
  <c r="F160" i="1" s="1"/>
  <c r="L159" i="1"/>
  <c r="K159" i="1"/>
  <c r="J159" i="1"/>
  <c r="I159" i="1"/>
  <c r="H159" i="1"/>
  <c r="M159" i="1" s="1" a="1"/>
  <c r="M159" i="1" s="1"/>
  <c r="G159" i="1" a="1"/>
  <c r="G159" i="1" s="1"/>
  <c r="F159" i="1" a="1"/>
  <c r="F159" i="1" s="1"/>
  <c r="L158" i="1"/>
  <c r="K158" i="1"/>
  <c r="J158" i="1"/>
  <c r="I158" i="1"/>
  <c r="H158" i="1"/>
  <c r="M158" i="1" s="1" a="1"/>
  <c r="M158" i="1" s="1"/>
  <c r="G158" i="1" a="1"/>
  <c r="G158" i="1" s="1"/>
  <c r="F158" i="1" a="1"/>
  <c r="F158" i="1" s="1"/>
  <c r="L157" i="1"/>
  <c r="K157" i="1"/>
  <c r="J157" i="1"/>
  <c r="I157" i="1"/>
  <c r="H157" i="1"/>
  <c r="M157" i="1" s="1" a="1"/>
  <c r="M157" i="1" s="1"/>
  <c r="G157" i="1" a="1"/>
  <c r="G157" i="1" s="1"/>
  <c r="F157" i="1" a="1"/>
  <c r="F157" i="1" s="1"/>
  <c r="L156" i="1"/>
  <c r="K156" i="1"/>
  <c r="J156" i="1"/>
  <c r="I156" i="1"/>
  <c r="H156" i="1"/>
  <c r="M156" i="1" s="1" a="1"/>
  <c r="M156" i="1" s="1"/>
  <c r="G156" i="1" a="1"/>
  <c r="G156" i="1" s="1"/>
  <c r="F156" i="1" a="1"/>
  <c r="F156" i="1" s="1"/>
  <c r="L155" i="1"/>
  <c r="K155" i="1"/>
  <c r="J155" i="1"/>
  <c r="I155" i="1"/>
  <c r="H155" i="1"/>
  <c r="M155" i="1" s="1" a="1"/>
  <c r="M155" i="1" s="1"/>
  <c r="G155" i="1" a="1"/>
  <c r="G155" i="1" s="1"/>
  <c r="F155" i="1" a="1"/>
  <c r="F155" i="1" s="1"/>
  <c r="L154" i="1"/>
  <c r="K154" i="1"/>
  <c r="J154" i="1"/>
  <c r="I154" i="1"/>
  <c r="H154" i="1"/>
  <c r="M154" i="1" s="1" a="1"/>
  <c r="M154" i="1" s="1"/>
  <c r="G154" i="1" a="1"/>
  <c r="G154" i="1" s="1"/>
  <c r="F154" i="1" a="1"/>
  <c r="F154" i="1" s="1"/>
  <c r="L153" i="1"/>
  <c r="K153" i="1"/>
  <c r="J153" i="1"/>
  <c r="I153" i="1"/>
  <c r="H153" i="1"/>
  <c r="M153" i="1" s="1" a="1"/>
  <c r="M153" i="1" s="1"/>
  <c r="G153" i="1" a="1"/>
  <c r="G153" i="1" s="1"/>
  <c r="F153" i="1" a="1"/>
  <c r="F153" i="1" s="1"/>
  <c r="L152" i="1"/>
  <c r="K152" i="1"/>
  <c r="J152" i="1"/>
  <c r="I152" i="1"/>
  <c r="H152" i="1"/>
  <c r="M152" i="1" s="1" a="1"/>
  <c r="M152" i="1" s="1"/>
  <c r="G152" i="1" a="1"/>
  <c r="G152" i="1" s="1"/>
  <c r="F152" i="1" a="1"/>
  <c r="F152" i="1" s="1"/>
  <c r="L151" i="1"/>
  <c r="K151" i="1"/>
  <c r="J151" i="1"/>
  <c r="I151" i="1"/>
  <c r="H151" i="1"/>
  <c r="M151" i="1" s="1" a="1"/>
  <c r="M151" i="1" s="1"/>
  <c r="G151" i="1" a="1"/>
  <c r="G151" i="1" s="1"/>
  <c r="F151" i="1" a="1"/>
  <c r="F151" i="1" s="1"/>
  <c r="L150" i="1"/>
  <c r="K150" i="1"/>
  <c r="J150" i="1"/>
  <c r="I150" i="1"/>
  <c r="H150" i="1"/>
  <c r="M150" i="1" s="1" a="1"/>
  <c r="M150" i="1" s="1"/>
  <c r="G150" i="1" a="1"/>
  <c r="G150" i="1" s="1"/>
  <c r="F150" i="1" a="1"/>
  <c r="F150" i="1" s="1"/>
  <c r="M149" i="1" a="1"/>
  <c r="M149" i="1" s="1"/>
  <c r="L149" i="1"/>
  <c r="K149" i="1"/>
  <c r="J149" i="1"/>
  <c r="I149" i="1"/>
  <c r="G149" i="1" a="1"/>
  <c r="G149" i="1" s="1"/>
  <c r="F149" i="1" a="1"/>
  <c r="F149" i="1" s="1"/>
  <c r="M148" i="1" a="1"/>
  <c r="M148" i="1" s="1"/>
  <c r="L148" i="1"/>
  <c r="K148" i="1"/>
  <c r="J148" i="1"/>
  <c r="I148" i="1"/>
  <c r="G148" i="1" a="1"/>
  <c r="G148" i="1" s="1"/>
  <c r="F148" i="1" a="1"/>
  <c r="F148" i="1" s="1"/>
  <c r="M147" i="1" a="1"/>
  <c r="M147" i="1" s="1"/>
  <c r="L147" i="1"/>
  <c r="K147" i="1"/>
  <c r="J147" i="1"/>
  <c r="I147" i="1"/>
  <c r="G147" i="1" a="1"/>
  <c r="G147" i="1" s="1"/>
  <c r="F147" i="1" a="1"/>
  <c r="F147" i="1" s="1"/>
  <c r="M146" i="1" a="1"/>
  <c r="M146" i="1" s="1"/>
  <c r="L146" i="1"/>
  <c r="K146" i="1"/>
  <c r="J146" i="1"/>
  <c r="I146" i="1"/>
  <c r="G146" i="1" a="1"/>
  <c r="G146" i="1" s="1"/>
  <c r="F146" i="1" a="1"/>
  <c r="F146" i="1" s="1"/>
  <c r="L139" i="1"/>
  <c r="K139" i="1"/>
  <c r="J139" i="1"/>
  <c r="I139" i="1"/>
  <c r="H139" i="1"/>
  <c r="M139" i="1" s="1" a="1"/>
  <c r="M139" i="1" s="1"/>
  <c r="G139" i="1" a="1"/>
  <c r="G139" i="1" s="1"/>
  <c r="F139" i="1" a="1"/>
  <c r="F139" i="1" s="1"/>
  <c r="L138" i="1"/>
  <c r="K138" i="1"/>
  <c r="J138" i="1"/>
  <c r="I138" i="1"/>
  <c r="H138" i="1"/>
  <c r="M138" i="1" s="1" a="1"/>
  <c r="M138" i="1" s="1"/>
  <c r="G138" i="1" a="1"/>
  <c r="G138" i="1" s="1"/>
  <c r="F138" i="1" a="1"/>
  <c r="F138" i="1" s="1"/>
  <c r="L137" i="1"/>
  <c r="K137" i="1"/>
  <c r="J137" i="1"/>
  <c r="I137" i="1"/>
  <c r="H137" i="1"/>
  <c r="M137" i="1" s="1" a="1"/>
  <c r="M137" i="1" s="1"/>
  <c r="G137" i="1" a="1"/>
  <c r="G137" i="1" s="1"/>
  <c r="F137" i="1" a="1"/>
  <c r="F137" i="1" s="1"/>
  <c r="M132" i="1" a="1"/>
  <c r="M132" i="1" s="1"/>
  <c r="L132" i="1"/>
  <c r="K132" i="1"/>
  <c r="J132" i="1"/>
  <c r="I132" i="1"/>
  <c r="G132" i="1" a="1"/>
  <c r="G132" i="1" s="1"/>
  <c r="F132" i="1" a="1"/>
  <c r="F132" i="1" s="1"/>
  <c r="M131" i="1" a="1"/>
  <c r="M131" i="1" s="1"/>
  <c r="L131" i="1"/>
  <c r="K131" i="1"/>
  <c r="J131" i="1"/>
  <c r="I131" i="1"/>
  <c r="G131" i="1" a="1"/>
  <c r="G131" i="1" s="1"/>
  <c r="F131" i="1" a="1"/>
  <c r="F131" i="1" s="1"/>
  <c r="M130" i="1" a="1"/>
  <c r="M130" i="1" s="1"/>
  <c r="L130" i="1"/>
  <c r="K130" i="1"/>
  <c r="J130" i="1"/>
  <c r="I130" i="1"/>
  <c r="G130" i="1" a="1"/>
  <c r="G130" i="1" s="1"/>
  <c r="F130" i="1" a="1"/>
  <c r="F130" i="1" s="1"/>
  <c r="M129" i="1" a="1"/>
  <c r="M129" i="1" s="1"/>
  <c r="L129" i="1"/>
  <c r="K129" i="1"/>
  <c r="J129" i="1"/>
  <c r="I129" i="1"/>
  <c r="G129" i="1" a="1"/>
  <c r="G129" i="1" s="1"/>
  <c r="F129" i="1" a="1"/>
  <c r="F129" i="1" s="1"/>
  <c r="L128" i="1"/>
  <c r="K128" i="1"/>
  <c r="J128" i="1"/>
  <c r="I128" i="1"/>
  <c r="H128" i="1"/>
  <c r="M128" i="1" s="1" a="1"/>
  <c r="M128" i="1" s="1"/>
  <c r="G128" i="1" a="1"/>
  <c r="G128" i="1" s="1"/>
  <c r="F128" i="1" a="1"/>
  <c r="F128" i="1" s="1"/>
  <c r="L127" i="1"/>
  <c r="K127" i="1"/>
  <c r="J127" i="1"/>
  <c r="I127" i="1"/>
  <c r="H127" i="1"/>
  <c r="M127" i="1" s="1" a="1"/>
  <c r="M127" i="1" s="1"/>
  <c r="G127" i="1" a="1"/>
  <c r="G127" i="1" s="1"/>
  <c r="F127" i="1" a="1"/>
  <c r="F127" i="1" s="1"/>
  <c r="L118" i="1"/>
  <c r="K118" i="1"/>
  <c r="J118" i="1"/>
  <c r="I118" i="1"/>
  <c r="H118" i="1"/>
  <c r="M118" i="1" s="1" a="1"/>
  <c r="M118" i="1" s="1"/>
  <c r="G118" i="1" a="1"/>
  <c r="G118" i="1" s="1"/>
  <c r="F118" i="1" a="1"/>
  <c r="F118" i="1" s="1"/>
  <c r="L116" i="1"/>
  <c r="K116" i="1"/>
  <c r="J116" i="1"/>
  <c r="I116" i="1"/>
  <c r="H116" i="1"/>
  <c r="M116" i="1" s="1" a="1"/>
  <c r="M116" i="1" s="1"/>
  <c r="G116" i="1" a="1"/>
  <c r="G116" i="1" s="1"/>
  <c r="F116" i="1" a="1"/>
  <c r="F116" i="1" s="1"/>
  <c r="L114" i="1"/>
  <c r="K114" i="1"/>
  <c r="J114" i="1"/>
  <c r="I114" i="1"/>
  <c r="H114" i="1"/>
  <c r="M114" i="1" s="1" a="1"/>
  <c r="M114" i="1" s="1"/>
  <c r="G114" i="1" a="1"/>
  <c r="G114" i="1" s="1"/>
  <c r="F114" i="1" a="1"/>
  <c r="F114" i="1" s="1"/>
  <c r="L113" i="1"/>
  <c r="K113" i="1"/>
  <c r="J113" i="1"/>
  <c r="I113" i="1"/>
  <c r="H113" i="1"/>
  <c r="M113" i="1" s="1" a="1"/>
  <c r="M113" i="1" s="1"/>
  <c r="G113" i="1" a="1"/>
  <c r="G113" i="1" s="1"/>
  <c r="F113" i="1" a="1"/>
  <c r="F113" i="1" s="1"/>
  <c r="L111" i="1"/>
  <c r="K111" i="1"/>
  <c r="J111" i="1"/>
  <c r="I111" i="1"/>
  <c r="H111" i="1"/>
  <c r="M111" i="1" s="1" a="1"/>
  <c r="M111" i="1" s="1"/>
  <c r="G111" i="1" a="1"/>
  <c r="G111" i="1" s="1"/>
  <c r="F111" i="1" a="1"/>
  <c r="F111" i="1" s="1"/>
  <c r="L109" i="1"/>
  <c r="K109" i="1"/>
  <c r="J109" i="1"/>
  <c r="I109" i="1"/>
  <c r="H109" i="1"/>
  <c r="M109" i="1" s="1" a="1"/>
  <c r="M109" i="1" s="1"/>
  <c r="G109" i="1" a="1"/>
  <c r="G109" i="1" s="1"/>
  <c r="F109" i="1" a="1"/>
  <c r="F109" i="1" s="1"/>
  <c r="L58" i="1"/>
  <c r="K58" i="1"/>
  <c r="J58" i="1"/>
  <c r="I58" i="1"/>
  <c r="H58" i="1"/>
  <c r="M58" i="1" s="1" a="1"/>
  <c r="M58" i="1" s="1"/>
  <c r="G58" i="1" a="1"/>
  <c r="G58" i="1" s="1"/>
  <c r="F58" i="1" a="1"/>
  <c r="F58" i="1" s="1"/>
  <c r="L100" i="1"/>
  <c r="K100" i="1"/>
  <c r="J100" i="1"/>
  <c r="I100" i="1"/>
  <c r="H100" i="1"/>
  <c r="M100" i="1" s="1" a="1"/>
  <c r="M100" i="1" s="1"/>
  <c r="G100" i="1" a="1"/>
  <c r="G100" i="1" s="1"/>
  <c r="F100" i="1" a="1"/>
  <c r="F100" i="1" s="1"/>
  <c r="L94" i="1"/>
  <c r="K94" i="1"/>
  <c r="J94" i="1"/>
  <c r="I94" i="1"/>
  <c r="H94" i="1"/>
  <c r="M94" i="1" s="1" a="1"/>
  <c r="M94" i="1" s="1"/>
  <c r="G94" i="1" a="1"/>
  <c r="G94" i="1" s="1"/>
  <c r="F94" i="1" a="1"/>
  <c r="F94" i="1" s="1"/>
  <c r="L89" i="1"/>
  <c r="K89" i="1"/>
  <c r="J89" i="1"/>
  <c r="I89" i="1"/>
  <c r="H89" i="1"/>
  <c r="M89" i="1" s="1" a="1"/>
  <c r="M89" i="1" s="1"/>
  <c r="G89" i="1" a="1"/>
  <c r="G89" i="1" s="1"/>
  <c r="F89" i="1" a="1"/>
  <c r="F89" i="1" s="1"/>
  <c r="L88" i="1"/>
  <c r="K88" i="1"/>
  <c r="J88" i="1"/>
  <c r="I88" i="1"/>
  <c r="H88" i="1"/>
  <c r="M88" i="1" s="1" a="1"/>
  <c r="M88" i="1" s="1"/>
  <c r="G88" i="1" a="1"/>
  <c r="G88" i="1" s="1"/>
  <c r="F88" i="1" a="1"/>
  <c r="F88" i="1" s="1"/>
  <c r="L86" i="1"/>
  <c r="K86" i="1"/>
  <c r="J86" i="1"/>
  <c r="I86" i="1"/>
  <c r="H86" i="1"/>
  <c r="M86" i="1" s="1" a="1"/>
  <c r="M86" i="1" s="1"/>
  <c r="G86" i="1" a="1"/>
  <c r="G86" i="1" s="1"/>
  <c r="F86" i="1" a="1"/>
  <c r="F86" i="1" s="1"/>
  <c r="L75" i="1"/>
  <c r="K75" i="1"/>
  <c r="J75" i="1"/>
  <c r="I75" i="1"/>
  <c r="H75" i="1"/>
  <c r="M75" i="1" s="1" a="1"/>
  <c r="M75" i="1" s="1"/>
  <c r="G75" i="1" a="1"/>
  <c r="G75" i="1" s="1"/>
  <c r="F75" i="1" a="1"/>
  <c r="F75" i="1" s="1"/>
  <c r="L74" i="1"/>
  <c r="K74" i="1"/>
  <c r="J74" i="1"/>
  <c r="I74" i="1"/>
  <c r="H74" i="1"/>
  <c r="M74" i="1" s="1" a="1"/>
  <c r="M74" i="1" s="1"/>
  <c r="G74" i="1" a="1"/>
  <c r="G74" i="1" s="1"/>
  <c r="F74" i="1" a="1"/>
  <c r="F74" i="1" s="1"/>
  <c r="L73" i="1"/>
  <c r="K73" i="1"/>
  <c r="J73" i="1"/>
  <c r="I73" i="1"/>
  <c r="H73" i="1"/>
  <c r="M73" i="1" s="1" a="1"/>
  <c r="M73" i="1" s="1"/>
  <c r="G73" i="1" a="1"/>
  <c r="G73" i="1" s="1"/>
  <c r="F73" i="1" a="1"/>
  <c r="F73" i="1" s="1"/>
  <c r="L72" i="1"/>
  <c r="K72" i="1"/>
  <c r="J72" i="1"/>
  <c r="I72" i="1"/>
  <c r="H72" i="1"/>
  <c r="M72" i="1" s="1" a="1"/>
  <c r="M72" i="1" s="1"/>
  <c r="G72" i="1" a="1"/>
  <c r="G72" i="1" s="1"/>
  <c r="F72" i="1" a="1"/>
  <c r="F72" i="1" s="1"/>
  <c r="L71" i="1"/>
  <c r="K71" i="1"/>
  <c r="J71" i="1"/>
  <c r="I71" i="1"/>
  <c r="H71" i="1"/>
  <c r="M71" i="1" s="1" a="1"/>
  <c r="M71" i="1" s="1"/>
  <c r="G71" i="1" a="1"/>
  <c r="G71" i="1" s="1"/>
  <c r="F71" i="1" a="1"/>
  <c r="F71" i="1" s="1"/>
  <c r="L145" i="1"/>
  <c r="K145" i="1"/>
  <c r="J145" i="1"/>
  <c r="I145" i="1"/>
  <c r="H145" i="1"/>
  <c r="M145" i="1" s="1" a="1"/>
  <c r="M145" i="1" s="1"/>
  <c r="G145" i="1" a="1"/>
  <c r="G145" i="1" s="1"/>
  <c r="F145" i="1" a="1"/>
  <c r="F145" i="1" s="1"/>
  <c r="L144" i="1"/>
  <c r="K144" i="1"/>
  <c r="J144" i="1"/>
  <c r="I144" i="1"/>
  <c r="H144" i="1"/>
  <c r="M144" i="1" s="1" a="1"/>
  <c r="M144" i="1" s="1"/>
  <c r="G144" i="1" a="1"/>
  <c r="G144" i="1" s="1"/>
  <c r="F144" i="1" a="1"/>
  <c r="F144" i="1" s="1"/>
  <c r="L143" i="1"/>
  <c r="K143" i="1"/>
  <c r="J143" i="1"/>
  <c r="I143" i="1"/>
  <c r="H143" i="1"/>
  <c r="M143" i="1" s="1" a="1"/>
  <c r="M143" i="1" s="1"/>
  <c r="G143" i="1" a="1"/>
  <c r="G143" i="1" s="1"/>
  <c r="F143" i="1" a="1"/>
  <c r="F143" i="1" s="1"/>
  <c r="L142" i="1"/>
  <c r="K142" i="1"/>
  <c r="J142" i="1"/>
  <c r="I142" i="1"/>
  <c r="H142" i="1"/>
  <c r="M142" i="1" s="1" a="1"/>
  <c r="M142" i="1" s="1"/>
  <c r="G142" i="1" a="1"/>
  <c r="G142" i="1" s="1"/>
  <c r="F142" i="1" a="1"/>
  <c r="F142" i="1" s="1"/>
  <c r="L141" i="1"/>
  <c r="K141" i="1"/>
  <c r="J141" i="1"/>
  <c r="I141" i="1"/>
  <c r="H141" i="1"/>
  <c r="M141" i="1" s="1" a="1"/>
  <c r="M141" i="1" s="1"/>
  <c r="G141" i="1" a="1"/>
  <c r="G141" i="1" s="1"/>
  <c r="F141" i="1" a="1"/>
  <c r="F141" i="1" s="1"/>
  <c r="L140" i="1"/>
  <c r="K140" i="1"/>
  <c r="J140" i="1"/>
  <c r="I140" i="1"/>
  <c r="H140" i="1"/>
  <c r="M140" i="1" s="1" a="1"/>
  <c r="M140" i="1" s="1"/>
  <c r="G140" i="1" a="1"/>
  <c r="G140" i="1" s="1"/>
  <c r="F140" i="1" a="1"/>
  <c r="F140" i="1" s="1"/>
  <c r="L41" i="1"/>
  <c r="K41" i="1"/>
  <c r="J41" i="1"/>
  <c r="I41" i="1"/>
  <c r="H41" i="1"/>
  <c r="M41" i="1" s="1" a="1"/>
  <c r="M41" i="1" s="1"/>
  <c r="G41" i="1" a="1"/>
  <c r="G41" i="1" s="1"/>
  <c r="F41" i="1" a="1"/>
  <c r="F41" i="1" s="1"/>
  <c r="L39" i="1"/>
  <c r="K39" i="1"/>
  <c r="J39" i="1"/>
  <c r="I39" i="1"/>
  <c r="H39" i="1"/>
  <c r="M39" i="1" s="1" a="1"/>
  <c r="M39" i="1" s="1"/>
  <c r="G39" i="1" a="1"/>
  <c r="G39" i="1" s="1"/>
  <c r="F39" i="1" a="1"/>
  <c r="F39" i="1" s="1"/>
  <c r="L37" i="1"/>
  <c r="K37" i="1"/>
  <c r="J37" i="1"/>
  <c r="I37" i="1"/>
  <c r="H37" i="1"/>
  <c r="M37" i="1" s="1" a="1"/>
  <c r="M37" i="1" s="1"/>
  <c r="G37" i="1" a="1"/>
  <c r="G37" i="1" s="1"/>
  <c r="F37" i="1" a="1"/>
  <c r="F37" i="1" s="1"/>
  <c r="L35" i="1"/>
  <c r="K35" i="1"/>
  <c r="J35" i="1"/>
  <c r="I35" i="1"/>
  <c r="H35" i="1"/>
  <c r="M35" i="1" s="1" a="1"/>
  <c r="M35" i="1" s="1"/>
  <c r="G35" i="1" a="1"/>
  <c r="G35" i="1" s="1"/>
  <c r="F35" i="1" a="1"/>
  <c r="F35" i="1" s="1"/>
  <c r="L33" i="1"/>
  <c r="K33" i="1"/>
  <c r="J33" i="1"/>
  <c r="I33" i="1"/>
  <c r="H33" i="1"/>
  <c r="M33" i="1" s="1" a="1"/>
  <c r="M33" i="1" s="1"/>
  <c r="G33" i="1" a="1"/>
  <c r="G33" i="1" s="1"/>
  <c r="F33" i="1" a="1"/>
  <c r="F33" i="1" s="1"/>
  <c r="L31" i="1"/>
  <c r="K31" i="1"/>
  <c r="J31" i="1"/>
  <c r="I31" i="1"/>
  <c r="H31" i="1"/>
  <c r="M31" i="1" s="1" a="1"/>
  <c r="M31" i="1" s="1"/>
  <c r="G31" i="1" a="1"/>
  <c r="G31" i="1" s="1"/>
  <c r="F31" i="1" a="1"/>
  <c r="F31" i="1" s="1"/>
  <c r="L29" i="1"/>
  <c r="K29" i="1"/>
  <c r="J29" i="1"/>
  <c r="I29" i="1"/>
  <c r="H29" i="1"/>
  <c r="M29" i="1" s="1" a="1"/>
  <c r="M29" i="1" s="1"/>
  <c r="G29" i="1" a="1"/>
  <c r="G29" i="1" s="1"/>
  <c r="F29" i="1" a="1"/>
  <c r="F29" i="1" s="1"/>
  <c r="L27" i="1"/>
  <c r="K27" i="1"/>
  <c r="J27" i="1"/>
  <c r="I27" i="1"/>
  <c r="H27" i="1"/>
  <c r="M27" i="1" s="1" a="1"/>
  <c r="M27" i="1" s="1"/>
  <c r="G27" i="1" a="1"/>
  <c r="G27" i="1" s="1"/>
  <c r="F27" i="1" a="1"/>
  <c r="F27" i="1" s="1"/>
  <c r="L25" i="1"/>
  <c r="K25" i="1"/>
  <c r="J25" i="1"/>
  <c r="I25" i="1"/>
  <c r="H25" i="1"/>
  <c r="M25" i="1" s="1" a="1"/>
  <c r="M25" i="1" s="1"/>
  <c r="G25" i="1" a="1"/>
  <c r="G25" i="1" s="1"/>
  <c r="F25" i="1" a="1"/>
  <c r="F25" i="1" s="1"/>
  <c r="L23" i="1"/>
  <c r="K23" i="1"/>
  <c r="J23" i="1"/>
  <c r="I23" i="1"/>
  <c r="H23" i="1"/>
  <c r="M23" i="1" s="1" a="1"/>
  <c r="M23" i="1" s="1"/>
  <c r="G23" i="1" a="1"/>
  <c r="G23" i="1" s="1"/>
  <c r="F23" i="1" a="1"/>
  <c r="F23" i="1" s="1"/>
  <c r="L21" i="1"/>
  <c r="K21" i="1"/>
  <c r="J21" i="1"/>
  <c r="I21" i="1"/>
  <c r="H21" i="1"/>
  <c r="M21" i="1" s="1" a="1"/>
  <c r="M21" i="1" s="1"/>
  <c r="G21" i="1" a="1"/>
  <c r="G21" i="1" s="1"/>
  <c r="F21" i="1" a="1"/>
  <c r="F21" i="1" s="1"/>
  <c r="L19" i="1"/>
  <c r="K19" i="1"/>
  <c r="J19" i="1"/>
  <c r="I19" i="1"/>
  <c r="H19" i="1"/>
  <c r="M19" i="1" s="1" a="1"/>
  <c r="M19" i="1" s="1"/>
  <c r="G19" i="1" a="1"/>
  <c r="G19" i="1" s="1"/>
  <c r="F19" i="1" a="1"/>
  <c r="F19" i="1" s="1"/>
  <c r="L70" i="1"/>
  <c r="K70" i="1"/>
  <c r="J70" i="1"/>
  <c r="I70" i="1"/>
  <c r="H70" i="1"/>
  <c r="M70" i="1" s="1" a="1"/>
  <c r="M70" i="1" s="1"/>
  <c r="I75" i="5" s="1"/>
  <c r="G70" i="1" a="1"/>
  <c r="G70" i="1" s="1"/>
  <c r="F70" i="1" a="1"/>
  <c r="F70" i="1" s="1"/>
  <c r="L69" i="1"/>
  <c r="K69" i="1"/>
  <c r="J69" i="1"/>
  <c r="I69" i="1"/>
  <c r="H69" i="1"/>
  <c r="M69" i="1" s="1" a="1"/>
  <c r="M69" i="1" s="1"/>
  <c r="G69" i="1" a="1"/>
  <c r="G69" i="1" s="1"/>
  <c r="F69" i="1" a="1"/>
  <c r="F69" i="1" s="1"/>
  <c r="L68" i="1"/>
  <c r="K68" i="1"/>
  <c r="J68" i="1"/>
  <c r="I68" i="1"/>
  <c r="H68" i="1"/>
  <c r="M68" i="1" s="1" a="1"/>
  <c r="M68" i="1" s="1"/>
  <c r="G68" i="1" a="1"/>
  <c r="G68" i="1" s="1"/>
  <c r="F68" i="1" a="1"/>
  <c r="F68" i="1" s="1"/>
  <c r="L56" i="1"/>
  <c r="K56" i="1"/>
  <c r="J56" i="1"/>
  <c r="I56" i="1"/>
  <c r="H56" i="1"/>
  <c r="M56" i="1" s="1" a="1"/>
  <c r="M56" i="1" s="1"/>
  <c r="G56" i="1" a="1"/>
  <c r="G56" i="1" s="1"/>
  <c r="F56" i="1" a="1"/>
  <c r="F56" i="1" s="1"/>
  <c r="L55" i="1"/>
  <c r="K55" i="1"/>
  <c r="J55" i="1"/>
  <c r="I55" i="1"/>
  <c r="H55" i="1"/>
  <c r="M55" i="1" s="1" a="1"/>
  <c r="M55" i="1" s="1"/>
  <c r="G55" i="1" a="1"/>
  <c r="G55" i="1" s="1"/>
  <c r="F55" i="1" a="1"/>
  <c r="F55" i="1" s="1"/>
  <c r="L54" i="1"/>
  <c r="K54" i="1"/>
  <c r="J54" i="1"/>
  <c r="I54" i="1"/>
  <c r="H54" i="1"/>
  <c r="M54" i="1" s="1" a="1"/>
  <c r="M54" i="1" s="1"/>
  <c r="G54" i="1" a="1"/>
  <c r="G54" i="1" s="1"/>
  <c r="F54" i="1" a="1"/>
  <c r="F54" i="1" s="1"/>
  <c r="L53" i="1"/>
  <c r="K53" i="1"/>
  <c r="J53" i="1"/>
  <c r="I53" i="1"/>
  <c r="H53" i="1"/>
  <c r="M53" i="1" s="1" a="1"/>
  <c r="M53" i="1" s="1"/>
  <c r="G53" i="1" a="1"/>
  <c r="G53" i="1" s="1"/>
  <c r="F53" i="1" a="1"/>
  <c r="F53" i="1" s="1"/>
  <c r="L52" i="1"/>
  <c r="K52" i="1"/>
  <c r="J52" i="1"/>
  <c r="I52" i="1"/>
  <c r="H52" i="1"/>
  <c r="M52" i="1" s="1" a="1"/>
  <c r="M52" i="1" s="1"/>
  <c r="G52" i="1" a="1"/>
  <c r="G52" i="1" s="1"/>
  <c r="F52" i="1" a="1"/>
  <c r="F52" i="1" s="1"/>
  <c r="L49" i="1"/>
  <c r="K49" i="1"/>
  <c r="J49" i="1"/>
  <c r="I49" i="1"/>
  <c r="H49" i="1"/>
  <c r="M49" i="1" s="1" a="1"/>
  <c r="M49" i="1" s="1"/>
  <c r="G49" i="1" a="1"/>
  <c r="G49" i="1" s="1"/>
  <c r="F49" i="1" a="1"/>
  <c r="F49" i="1" s="1"/>
  <c r="L85" i="1"/>
  <c r="K85" i="1"/>
  <c r="J85" i="1"/>
  <c r="I85" i="1"/>
  <c r="H85" i="1"/>
  <c r="M85" i="1" s="1" a="1"/>
  <c r="M85" i="1" s="1"/>
  <c r="G85" i="1" a="1"/>
  <c r="G85" i="1" s="1"/>
  <c r="F85" i="1" a="1"/>
  <c r="F85" i="1" s="1"/>
  <c r="L84" i="1"/>
  <c r="K84" i="1"/>
  <c r="J84" i="1"/>
  <c r="I84" i="1"/>
  <c r="H84" i="1"/>
  <c r="M84" i="1" s="1" a="1"/>
  <c r="M84" i="1" s="1"/>
  <c r="G84" i="1" a="1"/>
  <c r="G84" i="1" s="1"/>
  <c r="F84" i="1" a="1"/>
  <c r="F84" i="1" s="1"/>
  <c r="L83" i="1"/>
  <c r="K83" i="1"/>
  <c r="J83" i="1"/>
  <c r="I83" i="1"/>
  <c r="H83" i="1"/>
  <c r="M83" i="1" s="1" a="1"/>
  <c r="M83" i="1" s="1"/>
  <c r="G83" i="1" a="1"/>
  <c r="G83" i="1" s="1"/>
  <c r="F83" i="1" a="1"/>
  <c r="F83" i="1" s="1"/>
  <c r="L82" i="1"/>
  <c r="K82" i="1"/>
  <c r="J82" i="1"/>
  <c r="I82" i="1"/>
  <c r="H82" i="1"/>
  <c r="M82" i="1" s="1" a="1"/>
  <c r="M82" i="1" s="1"/>
  <c r="G82" i="1" a="1"/>
  <c r="G82" i="1" s="1"/>
  <c r="F82" i="1" a="1"/>
  <c r="F82" i="1" s="1"/>
  <c r="L81" i="1"/>
  <c r="K81" i="1"/>
  <c r="J81" i="1"/>
  <c r="I81" i="1"/>
  <c r="H81" i="1"/>
  <c r="M81" i="1" s="1" a="1"/>
  <c r="M81" i="1" s="1"/>
  <c r="G81" i="1" a="1"/>
  <c r="G81" i="1" s="1"/>
  <c r="F81" i="1" a="1"/>
  <c r="F81" i="1" s="1"/>
  <c r="L80" i="1"/>
  <c r="K80" i="1"/>
  <c r="J80" i="1"/>
  <c r="I80" i="1"/>
  <c r="H80" i="1"/>
  <c r="M80" i="1" s="1" a="1"/>
  <c r="M80" i="1" s="1"/>
  <c r="G80" i="1" a="1"/>
  <c r="G80" i="1" s="1"/>
  <c r="F80" i="1" a="1"/>
  <c r="F80" i="1" s="1"/>
  <c r="L79" i="1"/>
  <c r="K79" i="1"/>
  <c r="J79" i="1"/>
  <c r="I79" i="1"/>
  <c r="H79" i="1"/>
  <c r="M79" i="1" s="1" a="1"/>
  <c r="M79" i="1" s="1"/>
  <c r="G79" i="1" a="1"/>
  <c r="G79" i="1" s="1"/>
  <c r="F79" i="1" a="1"/>
  <c r="F79" i="1" s="1"/>
  <c r="L78" i="1"/>
  <c r="K78" i="1"/>
  <c r="J78" i="1"/>
  <c r="I78" i="1"/>
  <c r="H78" i="1"/>
  <c r="M78" i="1" s="1" a="1"/>
  <c r="M78" i="1" s="1"/>
  <c r="G78" i="1" a="1"/>
  <c r="G78" i="1" s="1"/>
  <c r="F78" i="1" a="1"/>
  <c r="F78" i="1" s="1"/>
  <c r="L300" i="1"/>
  <c r="K300" i="1"/>
  <c r="J300" i="1"/>
  <c r="I300" i="1"/>
  <c r="H300" i="1"/>
  <c r="M300" i="1" s="1" a="1"/>
  <c r="M300" i="1" s="1"/>
  <c r="G300" i="1" a="1"/>
  <c r="G300" i="1" s="1"/>
  <c r="F300" i="1" a="1"/>
  <c r="F300" i="1" s="1"/>
  <c r="L281" i="1"/>
  <c r="K281" i="1"/>
  <c r="J281" i="1"/>
  <c r="I281" i="1"/>
  <c r="H281" i="1"/>
  <c r="M281" i="1" s="1" a="1"/>
  <c r="M281" i="1" s="1"/>
  <c r="G281" i="1" a="1"/>
  <c r="G281" i="1" s="1"/>
  <c r="F281" i="1" a="1"/>
  <c r="F281" i="1" s="1"/>
  <c r="L280" i="1"/>
  <c r="K280" i="1"/>
  <c r="J280" i="1"/>
  <c r="I280" i="1"/>
  <c r="H280" i="1"/>
  <c r="M280" i="1" s="1" a="1"/>
  <c r="M280" i="1" s="1"/>
  <c r="G280" i="1" a="1"/>
  <c r="G280" i="1" s="1"/>
  <c r="F280" i="1" a="1"/>
  <c r="F280" i="1" s="1"/>
  <c r="L279" i="1"/>
  <c r="K279" i="1"/>
  <c r="J279" i="1"/>
  <c r="I279" i="1"/>
  <c r="H279" i="1"/>
  <c r="M279" i="1" s="1" a="1"/>
  <c r="M279" i="1" s="1"/>
  <c r="G279" i="1" a="1"/>
  <c r="G279" i="1" s="1"/>
  <c r="F279" i="1" a="1"/>
  <c r="F279" i="1" s="1"/>
  <c r="L278" i="1"/>
  <c r="K278" i="1"/>
  <c r="J278" i="1"/>
  <c r="I278" i="1"/>
  <c r="H278" i="1"/>
  <c r="M278" i="1" s="1" a="1"/>
  <c r="M278" i="1" s="1"/>
  <c r="G278" i="1" a="1"/>
  <c r="G278" i="1" s="1"/>
  <c r="F278" i="1" a="1"/>
  <c r="F278" i="1" s="1"/>
  <c r="L277" i="1"/>
  <c r="K277" i="1"/>
  <c r="J277" i="1"/>
  <c r="I277" i="1"/>
  <c r="H277" i="1"/>
  <c r="M277" i="1" s="1" a="1"/>
  <c r="M277" i="1" s="1"/>
  <c r="G277" i="1" a="1"/>
  <c r="G277" i="1" s="1"/>
  <c r="F277" i="1" a="1"/>
  <c r="F277" i="1" s="1"/>
  <c r="L276" i="1"/>
  <c r="K276" i="1"/>
  <c r="J276" i="1"/>
  <c r="I276" i="1"/>
  <c r="H276" i="1"/>
  <c r="M276" i="1" s="1" a="1"/>
  <c r="M276" i="1" s="1"/>
  <c r="G276" i="1" a="1"/>
  <c r="G276" i="1" s="1"/>
  <c r="F276" i="1" a="1"/>
  <c r="F276" i="1" s="1"/>
  <c r="L275" i="1"/>
  <c r="K275" i="1"/>
  <c r="J275" i="1"/>
  <c r="I275" i="1"/>
  <c r="H275" i="1"/>
  <c r="M275" i="1" s="1" a="1"/>
  <c r="M275" i="1" s="1"/>
  <c r="G275" i="1" a="1"/>
  <c r="G275" i="1" s="1"/>
  <c r="F275" i="1" a="1"/>
  <c r="F275" i="1" s="1"/>
  <c r="L136" i="1"/>
  <c r="K136" i="1"/>
  <c r="J136" i="1"/>
  <c r="I136" i="1"/>
  <c r="H136" i="1"/>
  <c r="M136" i="1" s="1" a="1"/>
  <c r="M136" i="1" s="1"/>
  <c r="G136" i="1" a="1"/>
  <c r="G136" i="1" s="1"/>
  <c r="F136" i="1" a="1"/>
  <c r="F136" i="1" s="1"/>
  <c r="L135" i="1"/>
  <c r="K135" i="1"/>
  <c r="J135" i="1"/>
  <c r="I135" i="1"/>
  <c r="H135" i="1"/>
  <c r="M135" i="1" s="1" a="1"/>
  <c r="M135" i="1" s="1"/>
  <c r="G135" i="1" a="1"/>
  <c r="G135" i="1" s="1"/>
  <c r="F135" i="1" a="1"/>
  <c r="F135" i="1" s="1"/>
  <c r="L134" i="1"/>
  <c r="K134" i="1"/>
  <c r="J134" i="1"/>
  <c r="I134" i="1"/>
  <c r="H134" i="1"/>
  <c r="M134" i="1" s="1" a="1"/>
  <c r="M134" i="1" s="1"/>
  <c r="G134" i="1" a="1"/>
  <c r="G134" i="1" s="1"/>
  <c r="F134" i="1" a="1"/>
  <c r="F134" i="1" s="1"/>
  <c r="L133" i="1"/>
  <c r="K133" i="1"/>
  <c r="J133" i="1"/>
  <c r="I133" i="1"/>
  <c r="H133" i="1"/>
  <c r="M133" i="1" s="1" a="1"/>
  <c r="M133" i="1" s="1"/>
  <c r="G133" i="1" a="1"/>
  <c r="G133" i="1" s="1"/>
  <c r="F133" i="1" a="1"/>
  <c r="F133" i="1" s="1"/>
  <c r="L125" i="1"/>
  <c r="K125" i="1"/>
  <c r="J125" i="1"/>
  <c r="I125" i="1"/>
  <c r="H125" i="1"/>
  <c r="M125" i="1" s="1" a="1"/>
  <c r="M125" i="1" s="1"/>
  <c r="G125" i="1" a="1"/>
  <c r="G125" i="1" s="1"/>
  <c r="F125" i="1" a="1"/>
  <c r="F125" i="1" s="1"/>
  <c r="L124" i="1"/>
  <c r="K124" i="1"/>
  <c r="J124" i="1"/>
  <c r="I124" i="1"/>
  <c r="H124" i="1"/>
  <c r="M124" i="1" s="1" a="1"/>
  <c r="M124" i="1" s="1"/>
  <c r="G124" i="1" a="1"/>
  <c r="G124" i="1" s="1"/>
  <c r="F124" i="1" a="1"/>
  <c r="F124" i="1" s="1"/>
  <c r="L123" i="1"/>
  <c r="K123" i="1"/>
  <c r="J123" i="1"/>
  <c r="I123" i="1"/>
  <c r="H123" i="1"/>
  <c r="M123" i="1" s="1" a="1"/>
  <c r="M123" i="1" s="1"/>
  <c r="G123" i="1" a="1"/>
  <c r="G123" i="1" s="1"/>
  <c r="F123" i="1" a="1"/>
  <c r="F123" i="1" s="1"/>
  <c r="L57" i="1"/>
  <c r="K57" i="1"/>
  <c r="J57" i="1"/>
  <c r="I57" i="1"/>
  <c r="H57" i="1"/>
  <c r="M57" i="1" s="1" a="1"/>
  <c r="M57" i="1" s="1"/>
  <c r="G57" i="1" a="1"/>
  <c r="G57" i="1" s="1"/>
  <c r="F57" i="1" a="1"/>
  <c r="F57" i="1" s="1"/>
  <c r="L99" i="1"/>
  <c r="K99" i="1"/>
  <c r="J99" i="1"/>
  <c r="I99" i="1"/>
  <c r="H99" i="1"/>
  <c r="M99" i="1" s="1" a="1"/>
  <c r="M99" i="1" s="1"/>
  <c r="G99" i="1" a="1"/>
  <c r="G99" i="1" s="1"/>
  <c r="F99" i="1" a="1"/>
  <c r="F99" i="1" s="1"/>
  <c r="L98" i="1"/>
  <c r="K98" i="1"/>
  <c r="J98" i="1"/>
  <c r="I98" i="1"/>
  <c r="H98" i="1"/>
  <c r="M98" i="1" s="1" a="1"/>
  <c r="M98" i="1" s="1"/>
  <c r="G98" i="1" a="1"/>
  <c r="G98" i="1" s="1"/>
  <c r="F98" i="1" a="1"/>
  <c r="F98" i="1" s="1"/>
  <c r="L97" i="1"/>
  <c r="K97" i="1"/>
  <c r="J97" i="1"/>
  <c r="I97" i="1"/>
  <c r="H97" i="1"/>
  <c r="M97" i="1" s="1" a="1"/>
  <c r="M97" i="1" s="1"/>
  <c r="G97" i="1" a="1"/>
  <c r="G97" i="1" s="1"/>
  <c r="F97" i="1" a="1"/>
  <c r="F97" i="1" s="1"/>
  <c r="L96" i="1"/>
  <c r="K96" i="1"/>
  <c r="J96" i="1"/>
  <c r="I96" i="1"/>
  <c r="H96" i="1"/>
  <c r="M96" i="1" s="1" a="1"/>
  <c r="M96" i="1" s="1"/>
  <c r="G96" i="1" a="1"/>
  <c r="G96" i="1" s="1"/>
  <c r="F96" i="1" a="1"/>
  <c r="F96" i="1" s="1"/>
  <c r="L95" i="1"/>
  <c r="K95" i="1"/>
  <c r="J95" i="1"/>
  <c r="I95" i="1"/>
  <c r="H95" i="1"/>
  <c r="M95" i="1" s="1" a="1"/>
  <c r="M95" i="1" s="1"/>
  <c r="G95" i="1" a="1"/>
  <c r="G95" i="1" s="1"/>
  <c r="F95" i="1" a="1"/>
  <c r="F95" i="1" s="1"/>
  <c r="L93" i="1"/>
  <c r="K93" i="1"/>
  <c r="J93" i="1"/>
  <c r="I93" i="1"/>
  <c r="H93" i="1"/>
  <c r="M93" i="1" s="1" a="1"/>
  <c r="M93" i="1" s="1"/>
  <c r="G93" i="1" a="1"/>
  <c r="G93" i="1" s="1"/>
  <c r="F93" i="1" a="1"/>
  <c r="F93" i="1" s="1"/>
  <c r="L87" i="1"/>
  <c r="K87" i="1"/>
  <c r="J87" i="1"/>
  <c r="I87" i="1"/>
  <c r="H87" i="1"/>
  <c r="M87" i="1" s="1" a="1"/>
  <c r="M87" i="1" s="1"/>
  <c r="G87" i="1" a="1"/>
  <c r="G87" i="1" s="1"/>
  <c r="F87" i="1" a="1"/>
  <c r="F87" i="1" s="1"/>
  <c r="L51" i="1"/>
  <c r="K51" i="1"/>
  <c r="J51" i="1"/>
  <c r="I51" i="1"/>
  <c r="H51" i="1"/>
  <c r="M51" i="1" s="1" a="1"/>
  <c r="M51" i="1" s="1"/>
  <c r="G51" i="1" a="1"/>
  <c r="G51" i="1" s="1"/>
  <c r="F51" i="1" a="1"/>
  <c r="F51" i="1" s="1"/>
  <c r="L50" i="1"/>
  <c r="K50" i="1"/>
  <c r="J50" i="1"/>
  <c r="I50" i="1"/>
  <c r="H50" i="1"/>
  <c r="M50" i="1" s="1" a="1"/>
  <c r="M50" i="1" s="1"/>
  <c r="G50" i="1" a="1"/>
  <c r="G50" i="1" s="1"/>
  <c r="F50" i="1" a="1"/>
  <c r="F50" i="1" s="1"/>
  <c r="L92" i="1"/>
  <c r="K92" i="1"/>
  <c r="J92" i="1"/>
  <c r="I92" i="1"/>
  <c r="H92" i="1"/>
  <c r="M92" i="1" s="1" a="1"/>
  <c r="M92" i="1" s="1"/>
  <c r="G92" i="1" a="1"/>
  <c r="G92" i="1" s="1"/>
  <c r="F92" i="1" a="1"/>
  <c r="F92" i="1" s="1"/>
  <c r="L91" i="1"/>
  <c r="K91" i="1"/>
  <c r="J91" i="1"/>
  <c r="I91" i="1"/>
  <c r="H91" i="1"/>
  <c r="M91" i="1" s="1" a="1"/>
  <c r="M91" i="1" s="1"/>
  <c r="G91" i="1" a="1"/>
  <c r="G91" i="1" s="1"/>
  <c r="F91" i="1" a="1"/>
  <c r="F91" i="1" s="1"/>
  <c r="L90" i="1"/>
  <c r="K90" i="1"/>
  <c r="J90" i="1"/>
  <c r="I90" i="1"/>
  <c r="H90" i="1"/>
  <c r="M90" i="1" s="1" a="1"/>
  <c r="M90" i="1" s="1"/>
  <c r="G90" i="1" a="1"/>
  <c r="G90" i="1" s="1"/>
  <c r="F90" i="1" a="1"/>
  <c r="F90" i="1" s="1"/>
  <c r="L302" i="1"/>
  <c r="K302" i="1"/>
  <c r="J302" i="1"/>
  <c r="I302" i="1"/>
  <c r="H302" i="1"/>
  <c r="M302" i="1" s="1" a="1"/>
  <c r="M302" i="1" s="1"/>
  <c r="G302" i="1" a="1"/>
  <c r="G302" i="1" s="1"/>
  <c r="F302" i="1" a="1"/>
  <c r="F302" i="1" s="1"/>
  <c r="L274" i="1"/>
  <c r="K274" i="1"/>
  <c r="J274" i="1"/>
  <c r="I274" i="1"/>
  <c r="H274" i="1"/>
  <c r="M274" i="1" s="1" a="1"/>
  <c r="M274" i="1" s="1"/>
  <c r="G274" i="1" a="1"/>
  <c r="G274" i="1" s="1"/>
  <c r="F274" i="1" a="1"/>
  <c r="F274" i="1" s="1"/>
  <c r="L273" i="1"/>
  <c r="K273" i="1"/>
  <c r="J273" i="1"/>
  <c r="I273" i="1"/>
  <c r="H273" i="1"/>
  <c r="M273" i="1" s="1" a="1"/>
  <c r="M273" i="1" s="1"/>
  <c r="G273" i="1" a="1"/>
  <c r="G273" i="1" s="1"/>
  <c r="F273" i="1" a="1"/>
  <c r="F273" i="1" s="1"/>
  <c r="L272" i="1"/>
  <c r="K272" i="1"/>
  <c r="J272" i="1"/>
  <c r="I272" i="1"/>
  <c r="H272" i="1"/>
  <c r="M272" i="1" s="1" a="1"/>
  <c r="M272" i="1" s="1"/>
  <c r="G272" i="1" a="1"/>
  <c r="G272" i="1" s="1"/>
  <c r="F272" i="1" a="1"/>
  <c r="F272" i="1" s="1"/>
  <c r="L271" i="1"/>
  <c r="K271" i="1"/>
  <c r="J271" i="1"/>
  <c r="I271" i="1"/>
  <c r="H271" i="1"/>
  <c r="M271" i="1" s="1" a="1"/>
  <c r="M271" i="1" s="1"/>
  <c r="G271" i="1" a="1"/>
  <c r="G271" i="1" s="1"/>
  <c r="F271" i="1" a="1"/>
  <c r="F271" i="1" s="1"/>
  <c r="L267" i="1"/>
  <c r="K267" i="1"/>
  <c r="J267" i="1"/>
  <c r="I267" i="1"/>
  <c r="H267" i="1"/>
  <c r="M267" i="1" s="1" a="1"/>
  <c r="M267" i="1" s="1"/>
  <c r="G267" i="1" a="1"/>
  <c r="G267" i="1" s="1"/>
  <c r="F267" i="1" a="1"/>
  <c r="F267" i="1" s="1"/>
  <c r="L255" i="1"/>
  <c r="K255" i="1"/>
  <c r="J255" i="1"/>
  <c r="I255" i="1"/>
  <c r="H255" i="1"/>
  <c r="M255" i="1" s="1" a="1"/>
  <c r="M255" i="1" s="1"/>
  <c r="G255" i="1" a="1"/>
  <c r="G255" i="1" s="1"/>
  <c r="F255" i="1" a="1"/>
  <c r="F255" i="1" s="1"/>
  <c r="L254" i="1"/>
  <c r="K254" i="1"/>
  <c r="J254" i="1"/>
  <c r="I254" i="1"/>
  <c r="H254" i="1"/>
  <c r="M254" i="1" s="1" a="1"/>
  <c r="M254" i="1" s="1"/>
  <c r="G254" i="1" a="1"/>
  <c r="G254" i="1" s="1"/>
  <c r="F254" i="1" a="1"/>
  <c r="F254" i="1" s="1"/>
  <c r="L253" i="1"/>
  <c r="K253" i="1"/>
  <c r="J253" i="1"/>
  <c r="I253" i="1"/>
  <c r="H253" i="1"/>
  <c r="M253" i="1" s="1" a="1"/>
  <c r="M253" i="1" s="1"/>
  <c r="G253" i="1" a="1"/>
  <c r="G253" i="1" s="1"/>
  <c r="F253" i="1" a="1"/>
  <c r="F253" i="1" s="1"/>
  <c r="L252" i="1"/>
  <c r="K252" i="1"/>
  <c r="J252" i="1"/>
  <c r="I252" i="1"/>
  <c r="H252" i="1"/>
  <c r="M252" i="1" s="1" a="1"/>
  <c r="M252" i="1" s="1"/>
  <c r="G252" i="1" a="1"/>
  <c r="G252" i="1" s="1"/>
  <c r="F252" i="1" a="1"/>
  <c r="F252" i="1" s="1"/>
  <c r="L248" i="1"/>
  <c r="K248" i="1"/>
  <c r="J248" i="1"/>
  <c r="I248" i="1"/>
  <c r="H248" i="1"/>
  <c r="M248" i="1" s="1" a="1"/>
  <c r="M248" i="1" s="1"/>
  <c r="G248" i="1" a="1"/>
  <c r="G248" i="1" s="1"/>
  <c r="F248" i="1" a="1"/>
  <c r="F248" i="1" s="1"/>
  <c r="L207" i="1"/>
  <c r="K207" i="1"/>
  <c r="J207" i="1"/>
  <c r="I207" i="1"/>
  <c r="H207" i="1"/>
  <c r="M207" i="1" s="1" a="1"/>
  <c r="M207" i="1" s="1"/>
  <c r="G207" i="1" a="1"/>
  <c r="G207" i="1" s="1"/>
  <c r="F207" i="1" a="1"/>
  <c r="F207" i="1" s="1"/>
  <c r="L206" i="1"/>
  <c r="K206" i="1"/>
  <c r="J206" i="1"/>
  <c r="I206" i="1"/>
  <c r="H206" i="1"/>
  <c r="M206" i="1" s="1" a="1"/>
  <c r="M206" i="1" s="1"/>
  <c r="G206" i="1" a="1"/>
  <c r="G206" i="1" s="1"/>
  <c r="F206" i="1" a="1"/>
  <c r="F206" i="1" s="1"/>
  <c r="L205" i="1"/>
  <c r="K205" i="1"/>
  <c r="J205" i="1"/>
  <c r="I205" i="1"/>
  <c r="H205" i="1"/>
  <c r="M205" i="1" s="1" a="1"/>
  <c r="M205" i="1" s="1"/>
  <c r="G205" i="1" a="1"/>
  <c r="G205" i="1" s="1"/>
  <c r="F205" i="1" a="1"/>
  <c r="F205" i="1" s="1"/>
  <c r="L204" i="1"/>
  <c r="K204" i="1"/>
  <c r="J204" i="1"/>
  <c r="I204" i="1"/>
  <c r="H204" i="1"/>
  <c r="M204" i="1" s="1" a="1"/>
  <c r="M204" i="1" s="1"/>
  <c r="G204" i="1" a="1"/>
  <c r="G204" i="1" s="1"/>
  <c r="F204" i="1" a="1"/>
  <c r="F204" i="1" s="1"/>
  <c r="L203" i="1"/>
  <c r="K203" i="1"/>
  <c r="J203" i="1"/>
  <c r="I203" i="1"/>
  <c r="H203" i="1"/>
  <c r="M203" i="1" s="1" a="1"/>
  <c r="M203" i="1" s="1"/>
  <c r="G203" i="1" a="1"/>
  <c r="G203" i="1" s="1"/>
  <c r="F203" i="1" a="1"/>
  <c r="F203" i="1" s="1"/>
  <c r="L198" i="1"/>
  <c r="K198" i="1"/>
  <c r="J198" i="1"/>
  <c r="I198" i="1"/>
  <c r="H198" i="1"/>
  <c r="M198" i="1" s="1" a="1"/>
  <c r="M198" i="1" s="1"/>
  <c r="G198" i="1" a="1"/>
  <c r="G198" i="1" s="1"/>
  <c r="F198" i="1" a="1"/>
  <c r="F198" i="1" s="1"/>
  <c r="L183" i="1"/>
  <c r="K183" i="1"/>
  <c r="J183" i="1"/>
  <c r="I183" i="1"/>
  <c r="H183" i="1"/>
  <c r="M183" i="1" s="1" a="1"/>
  <c r="M183" i="1" s="1"/>
  <c r="G183" i="1" a="1"/>
  <c r="G183" i="1" s="1"/>
  <c r="F183" i="1" a="1"/>
  <c r="F183" i="1" s="1"/>
  <c r="L182" i="1"/>
  <c r="K182" i="1"/>
  <c r="J182" i="1"/>
  <c r="I182" i="1"/>
  <c r="H182" i="1"/>
  <c r="M182" i="1" s="1" a="1"/>
  <c r="M182" i="1" s="1"/>
  <c r="G182" i="1" a="1"/>
  <c r="G182" i="1" s="1"/>
  <c r="F182" i="1" a="1"/>
  <c r="F182" i="1" s="1"/>
  <c r="L181" i="1"/>
  <c r="K181" i="1"/>
  <c r="J181" i="1"/>
  <c r="I181" i="1"/>
  <c r="H181" i="1"/>
  <c r="M181" i="1" s="1" a="1"/>
  <c r="M181" i="1" s="1"/>
  <c r="G181" i="1" a="1"/>
  <c r="G181" i="1" s="1"/>
  <c r="F181" i="1" a="1"/>
  <c r="F181" i="1" s="1"/>
  <c r="L180" i="1"/>
  <c r="K180" i="1"/>
  <c r="J180" i="1"/>
  <c r="I180" i="1"/>
  <c r="H180" i="1"/>
  <c r="M180" i="1" s="1" a="1"/>
  <c r="M180" i="1" s="1"/>
  <c r="G180" i="1" a="1"/>
  <c r="G180" i="1" s="1"/>
  <c r="F180" i="1" a="1"/>
  <c r="F180" i="1" s="1"/>
  <c r="L179" i="1"/>
  <c r="K179" i="1"/>
  <c r="J179" i="1"/>
  <c r="I179" i="1"/>
  <c r="H179" i="1"/>
  <c r="M179" i="1" s="1" a="1"/>
  <c r="M179" i="1" s="1"/>
  <c r="G179" i="1" a="1"/>
  <c r="G179" i="1" s="1"/>
  <c r="F179" i="1" a="1"/>
  <c r="F179" i="1" s="1"/>
  <c r="L174" i="1"/>
  <c r="K174" i="1"/>
  <c r="J174" i="1"/>
  <c r="I174" i="1"/>
  <c r="H174" i="1"/>
  <c r="M174" i="1" s="1" a="1"/>
  <c r="M174" i="1" s="1"/>
  <c r="G174" i="1" a="1"/>
  <c r="G174" i="1" s="1"/>
  <c r="F174" i="1" a="1"/>
  <c r="F174" i="1" s="1"/>
  <c r="I16" i="5" l="1"/>
  <c r="I106" i="5"/>
  <c r="C57" i="5"/>
  <c r="I37" i="5"/>
  <c r="I61" i="5"/>
  <c r="I49" i="5"/>
  <c r="C75" i="5"/>
  <c r="C122" i="5"/>
  <c r="I198" i="5"/>
  <c r="C172" i="5"/>
  <c r="I41" i="5"/>
  <c r="C73" i="5"/>
  <c r="C265" i="5"/>
  <c r="C53" i="5"/>
  <c r="I123" i="5"/>
  <c r="I72" i="5"/>
  <c r="C196" i="5"/>
  <c r="C65" i="5"/>
  <c r="I113" i="5"/>
  <c r="I32" i="5"/>
  <c r="I102" i="5"/>
  <c r="I43" i="5"/>
  <c r="I174" i="5"/>
  <c r="I264" i="5"/>
  <c r="I22" i="5"/>
  <c r="I27" i="5"/>
  <c r="I197" i="5"/>
  <c r="I80" i="5"/>
  <c r="C34" i="5"/>
  <c r="I34" i="5"/>
  <c r="C5" i="5"/>
  <c r="C12" i="5"/>
  <c r="I35" i="5"/>
  <c r="I42" i="5"/>
  <c r="C11" i="5"/>
  <c r="I5" i="5"/>
  <c r="I195" i="5"/>
  <c r="I59" i="5"/>
  <c r="I82" i="5"/>
  <c r="I88" i="5"/>
  <c r="I18" i="5"/>
  <c r="C17" i="5"/>
  <c r="I8" i="5"/>
  <c r="I24" i="5"/>
  <c r="I25" i="5"/>
  <c r="C49" i="5"/>
  <c r="I159" i="5"/>
  <c r="I161" i="5"/>
  <c r="I112" i="5"/>
  <c r="I21" i="5"/>
  <c r="I252" i="5"/>
  <c r="I29" i="5"/>
  <c r="I163" i="5"/>
  <c r="I256" i="5"/>
  <c r="I90" i="5"/>
  <c r="I48" i="5"/>
  <c r="I4" i="5"/>
  <c r="I86" i="5"/>
  <c r="I127" i="5"/>
  <c r="C140" i="5"/>
  <c r="I54" i="5"/>
  <c r="I101" i="5"/>
  <c r="I203" i="5"/>
  <c r="I179" i="5"/>
  <c r="I261" i="5"/>
  <c r="I124" i="5"/>
  <c r="I133" i="5"/>
  <c r="I211" i="5"/>
  <c r="I131" i="5"/>
  <c r="I265" i="5"/>
  <c r="I97" i="5"/>
  <c r="C106" i="5"/>
  <c r="I207" i="5"/>
  <c r="I224" i="5"/>
  <c r="C266" i="5"/>
  <c r="C156" i="5"/>
  <c r="I143" i="5"/>
  <c r="I64" i="5"/>
  <c r="I118" i="5"/>
  <c r="I129" i="5"/>
  <c r="I190" i="5"/>
  <c r="I77" i="5"/>
  <c r="I146" i="5"/>
  <c r="I253" i="5"/>
  <c r="I60" i="5"/>
  <c r="I104" i="5"/>
  <c r="I225" i="5"/>
  <c r="C105" i="5"/>
  <c r="I201" i="5"/>
  <c r="I206" i="5"/>
  <c r="I269" i="5"/>
  <c r="I36" i="5"/>
  <c r="C107" i="5"/>
  <c r="C42" i="5"/>
  <c r="I45" i="5"/>
  <c r="I70" i="5"/>
  <c r="I92" i="5"/>
  <c r="I152" i="5"/>
  <c r="C166" i="5"/>
  <c r="C204" i="5"/>
  <c r="I216" i="5"/>
  <c r="I229" i="5"/>
  <c r="I235" i="5"/>
  <c r="I278" i="5"/>
  <c r="I165" i="5"/>
  <c r="C46" i="5"/>
  <c r="I63" i="5"/>
  <c r="C114" i="5"/>
  <c r="I139" i="5"/>
  <c r="I227" i="5"/>
  <c r="C230" i="5"/>
  <c r="C255" i="5"/>
  <c r="I74" i="5"/>
  <c r="C6" i="5"/>
  <c r="C33" i="5"/>
  <c r="I98" i="5"/>
  <c r="I109" i="5"/>
  <c r="C228" i="5"/>
  <c r="I239" i="5"/>
  <c r="I263" i="5"/>
  <c r="I267" i="5"/>
  <c r="C293" i="5"/>
  <c r="C13" i="5"/>
  <c r="C253" i="5"/>
  <c r="I164" i="5"/>
  <c r="I68" i="5"/>
  <c r="C211" i="5"/>
  <c r="I26" i="5"/>
  <c r="I38" i="5"/>
  <c r="C27" i="5"/>
  <c r="I108" i="5"/>
  <c r="I126" i="5"/>
  <c r="C129" i="5"/>
  <c r="C208" i="5"/>
  <c r="I259" i="5"/>
  <c r="C10" i="5"/>
  <c r="C21" i="5"/>
  <c r="I295" i="5"/>
  <c r="I31" i="5"/>
  <c r="C37" i="5"/>
  <c r="C64" i="5"/>
  <c r="C66" i="5"/>
  <c r="C91" i="5"/>
  <c r="I145" i="5"/>
  <c r="I160" i="5"/>
  <c r="C270" i="5"/>
  <c r="C67" i="5"/>
  <c r="I56" i="5"/>
  <c r="C142" i="5"/>
  <c r="I19" i="5"/>
  <c r="I23" i="5"/>
  <c r="I52" i="5"/>
  <c r="C89" i="5"/>
  <c r="C101" i="5"/>
  <c r="C121" i="5"/>
  <c r="C203" i="5"/>
  <c r="I71" i="5"/>
  <c r="I168" i="5"/>
  <c r="I176" i="5"/>
  <c r="I178" i="5"/>
  <c r="I187" i="5"/>
  <c r="I199" i="5"/>
  <c r="I279" i="5"/>
  <c r="C14" i="5"/>
  <c r="C70" i="5"/>
  <c r="I87" i="5"/>
  <c r="I91" i="5"/>
  <c r="C113" i="5"/>
  <c r="C188" i="5"/>
  <c r="C205" i="5"/>
  <c r="I268" i="5"/>
  <c r="I276" i="5"/>
  <c r="C280" i="5"/>
  <c r="I246" i="5"/>
  <c r="C258" i="5"/>
  <c r="I274" i="5"/>
  <c r="C294" i="5"/>
  <c r="I78" i="5"/>
  <c r="C59" i="5"/>
  <c r="I140" i="5"/>
  <c r="I238" i="5"/>
  <c r="C98" i="5"/>
  <c r="C243" i="5"/>
  <c r="I111" i="5"/>
  <c r="I115" i="5"/>
  <c r="C222" i="5"/>
  <c r="I233" i="5"/>
  <c r="I254" i="5"/>
  <c r="C115" i="5"/>
  <c r="I142" i="5"/>
  <c r="I231" i="5"/>
  <c r="C26" i="5"/>
  <c r="I85" i="5"/>
  <c r="I93" i="5"/>
  <c r="I105" i="5"/>
  <c r="I125" i="5"/>
  <c r="C128" i="5"/>
  <c r="I137" i="5"/>
  <c r="C160" i="5"/>
  <c r="C209" i="5"/>
  <c r="I218" i="5"/>
  <c r="I237" i="5"/>
  <c r="I248" i="5"/>
  <c r="I260" i="5"/>
  <c r="I284" i="5"/>
  <c r="I286" i="5"/>
  <c r="I290" i="5"/>
  <c r="I292" i="5"/>
  <c r="I51" i="5"/>
  <c r="I191" i="5"/>
  <c r="I96" i="5"/>
  <c r="C124" i="5"/>
  <c r="C217" i="5"/>
  <c r="I67" i="5"/>
  <c r="C238" i="5"/>
  <c r="I20" i="5"/>
  <c r="C97" i="5"/>
  <c r="C240" i="5"/>
  <c r="I219" i="5"/>
  <c r="I255" i="5"/>
  <c r="I40" i="5"/>
  <c r="I120" i="5"/>
  <c r="I232" i="5"/>
  <c r="C264" i="5"/>
  <c r="C214" i="5"/>
  <c r="I281" i="5"/>
  <c r="I283" i="5"/>
  <c r="I285" i="5"/>
  <c r="I272" i="5"/>
  <c r="C286" i="5"/>
  <c r="C288" i="5"/>
  <c r="I155" i="5"/>
  <c r="C192" i="5"/>
  <c r="I262" i="5"/>
  <c r="I173" i="5"/>
  <c r="C51" i="5"/>
  <c r="I150" i="5"/>
  <c r="I241" i="5"/>
  <c r="I121" i="5"/>
  <c r="C198" i="5"/>
  <c r="C249" i="5"/>
  <c r="I30" i="5"/>
  <c r="I33" i="5"/>
  <c r="C44" i="5"/>
  <c r="I73" i="5"/>
  <c r="I94" i="5"/>
  <c r="C108" i="5"/>
  <c r="C117" i="5"/>
  <c r="C119" i="5"/>
  <c r="I183" i="5"/>
  <c r="C187" i="5"/>
  <c r="C197" i="5"/>
  <c r="I208" i="5"/>
  <c r="C221" i="5"/>
  <c r="I230" i="5"/>
  <c r="I242" i="5"/>
  <c r="I244" i="5"/>
  <c r="C262" i="5"/>
  <c r="C269" i="5"/>
  <c r="I6" i="5"/>
  <c r="I202" i="5"/>
  <c r="I291" i="5"/>
  <c r="I15" i="5"/>
  <c r="I44" i="5"/>
  <c r="I122" i="5"/>
  <c r="I181" i="5"/>
  <c r="I185" i="5"/>
  <c r="I188" i="5"/>
  <c r="I200" i="5"/>
  <c r="C206" i="5"/>
  <c r="I210" i="5"/>
  <c r="I212" i="5"/>
  <c r="I222" i="5"/>
  <c r="C233" i="5"/>
  <c r="I251" i="5"/>
  <c r="I277" i="5"/>
  <c r="I282" i="5"/>
  <c r="I287" i="5"/>
  <c r="C295" i="5"/>
  <c r="C231" i="5"/>
  <c r="C81" i="5"/>
  <c r="C93" i="5"/>
  <c r="I99" i="5"/>
  <c r="C123" i="5"/>
  <c r="C125" i="5"/>
  <c r="C137" i="5"/>
  <c r="C149" i="5"/>
  <c r="I154" i="5"/>
  <c r="I157" i="5"/>
  <c r="I162" i="5"/>
  <c r="I171" i="5"/>
  <c r="C189" i="5"/>
  <c r="C199" i="5"/>
  <c r="I296" i="5"/>
  <c r="I46" i="5"/>
  <c r="I89" i="5"/>
  <c r="I110" i="5"/>
  <c r="I135" i="5"/>
  <c r="C144" i="5"/>
  <c r="C158" i="5"/>
  <c r="C182" i="5"/>
  <c r="C201" i="5"/>
  <c r="C252" i="5"/>
  <c r="I258" i="5"/>
  <c r="C278" i="5"/>
  <c r="C283" i="5"/>
  <c r="I289" i="5"/>
  <c r="I294" i="5"/>
  <c r="C29" i="5"/>
  <c r="C50" i="5"/>
  <c r="C62" i="5"/>
  <c r="I79" i="5"/>
  <c r="C184" i="5"/>
  <c r="C259" i="5"/>
  <c r="C290" i="5"/>
  <c r="C216" i="5"/>
  <c r="I11" i="5"/>
  <c r="I13" i="5"/>
  <c r="C22" i="5"/>
  <c r="I12" i="5"/>
  <c r="C43" i="5"/>
  <c r="C69" i="5"/>
  <c r="C83" i="5"/>
  <c r="C151" i="5"/>
  <c r="C177" i="5"/>
  <c r="I180" i="5"/>
  <c r="C220" i="5"/>
  <c r="I236" i="5"/>
  <c r="I250" i="5"/>
  <c r="C273" i="5"/>
  <c r="C285" i="5"/>
  <c r="C292" i="5"/>
  <c r="I205" i="5"/>
  <c r="C19" i="5"/>
  <c r="C45" i="5"/>
  <c r="C109" i="5"/>
  <c r="I117" i="5"/>
  <c r="I119" i="5"/>
  <c r="C141" i="5"/>
  <c r="C153" i="5"/>
  <c r="I170" i="5"/>
  <c r="C237" i="5"/>
  <c r="I62" i="5"/>
  <c r="I65" i="5"/>
  <c r="I84" i="5"/>
  <c r="C134" i="5"/>
  <c r="I147" i="5"/>
  <c r="I151" i="5"/>
  <c r="C174" i="5"/>
  <c r="I204" i="5"/>
  <c r="I209" i="5"/>
  <c r="I221" i="5"/>
  <c r="C232" i="5"/>
  <c r="C247" i="5"/>
  <c r="C261" i="5"/>
  <c r="C263" i="5"/>
  <c r="C275" i="5"/>
  <c r="I293" i="5"/>
  <c r="C58" i="5"/>
  <c r="I58" i="5"/>
  <c r="I14" i="5"/>
  <c r="I39" i="5"/>
  <c r="C78" i="5"/>
  <c r="C90" i="5"/>
  <c r="I95" i="5"/>
  <c r="I103" i="5"/>
  <c r="I128" i="5"/>
  <c r="C136" i="5"/>
  <c r="I166" i="5"/>
  <c r="I192" i="5"/>
  <c r="I214" i="5"/>
  <c r="I226" i="5"/>
  <c r="I228" i="5"/>
  <c r="C38" i="5"/>
  <c r="C35" i="5"/>
  <c r="I76" i="5"/>
  <c r="C80" i="5"/>
  <c r="C85" i="5"/>
  <c r="C99" i="5"/>
  <c r="I132" i="5"/>
  <c r="I149" i="5"/>
  <c r="I153" i="5"/>
  <c r="I156" i="5"/>
  <c r="C167" i="5"/>
  <c r="I175" i="5"/>
  <c r="C193" i="5"/>
  <c r="C200" i="5"/>
  <c r="C215" i="5"/>
  <c r="C227" i="5"/>
  <c r="I243" i="5"/>
  <c r="I247" i="5"/>
  <c r="C256" i="5"/>
  <c r="I257" i="5"/>
  <c r="I271" i="5"/>
  <c r="C287" i="5"/>
  <c r="C296" i="5"/>
  <c r="I17" i="5"/>
  <c r="I7" i="5"/>
  <c r="I9" i="5"/>
  <c r="C18" i="5"/>
  <c r="I53" i="5"/>
  <c r="C61" i="5"/>
  <c r="I130" i="5"/>
  <c r="C157" i="5"/>
  <c r="C169" i="5"/>
  <c r="C181" i="5"/>
  <c r="I186" i="5"/>
  <c r="I189" i="5"/>
  <c r="I194" i="5"/>
  <c r="I196" i="5"/>
  <c r="C251" i="5"/>
  <c r="I275" i="5"/>
  <c r="I66" i="5"/>
  <c r="I81" i="5"/>
  <c r="I100" i="5"/>
  <c r="C150" i="5"/>
  <c r="I167" i="5"/>
  <c r="C176" i="5"/>
  <c r="C190" i="5"/>
  <c r="C195" i="5"/>
  <c r="I215" i="5"/>
  <c r="I223" i="5"/>
  <c r="C244" i="5"/>
  <c r="I245" i="5"/>
  <c r="C272" i="5"/>
  <c r="I288" i="5"/>
  <c r="I134" i="5"/>
  <c r="C54" i="5"/>
  <c r="I50" i="5"/>
  <c r="I55" i="5"/>
  <c r="C82" i="5"/>
  <c r="C94" i="5"/>
  <c r="I114" i="5"/>
  <c r="I144" i="5"/>
  <c r="C152" i="5"/>
  <c r="I158" i="5"/>
  <c r="I177" i="5"/>
  <c r="I182" i="5"/>
  <c r="I184" i="5"/>
  <c r="C219" i="5"/>
  <c r="C236" i="5"/>
  <c r="I249" i="5"/>
  <c r="I270" i="5"/>
  <c r="I273" i="5"/>
  <c r="C279" i="5"/>
  <c r="C284" i="5"/>
  <c r="C110" i="5"/>
  <c r="C168" i="5"/>
  <c r="I193" i="5"/>
  <c r="C8" i="5"/>
  <c r="I57" i="5"/>
  <c r="C30" i="5"/>
  <c r="I47" i="5"/>
  <c r="I28" i="5"/>
  <c r="I148" i="5"/>
  <c r="I169" i="5"/>
  <c r="I172" i="5"/>
  <c r="I213" i="5"/>
  <c r="C224" i="5"/>
  <c r="I240" i="5"/>
  <c r="C246" i="5"/>
  <c r="C260" i="5"/>
  <c r="I266" i="5"/>
  <c r="C274" i="5"/>
  <c r="I280" i="5"/>
  <c r="C291" i="5"/>
  <c r="I136" i="5"/>
  <c r="I10" i="5"/>
  <c r="I69" i="5"/>
  <c r="C77" i="5"/>
  <c r="I83" i="5"/>
  <c r="I107" i="5"/>
  <c r="I116" i="5"/>
  <c r="I138" i="5"/>
  <c r="I141" i="5"/>
  <c r="C173" i="5"/>
  <c r="C185" i="5"/>
  <c r="I217" i="5"/>
  <c r="I220" i="5"/>
  <c r="I234" i="5"/>
  <c r="C248" i="5"/>
  <c r="C48" i="5"/>
  <c r="C112" i="5"/>
  <c r="C135" i="5"/>
  <c r="C161" i="5"/>
  <c r="C60" i="5"/>
  <c r="C86" i="5"/>
  <c r="C139" i="5"/>
  <c r="C235" i="5"/>
  <c r="C74" i="5"/>
  <c r="C245" i="5"/>
  <c r="C165" i="5"/>
  <c r="C213" i="5"/>
  <c r="C76" i="5"/>
  <c r="C102" i="5"/>
  <c r="C118" i="5"/>
  <c r="C120" i="5"/>
  <c r="C155" i="5"/>
  <c r="C225" i="5"/>
  <c r="C28" i="5"/>
  <c r="C92" i="5"/>
  <c r="C171" i="5"/>
  <c r="C32" i="5"/>
  <c r="C96" i="5"/>
  <c r="C145" i="5"/>
  <c r="C183" i="5"/>
  <c r="C229" i="5"/>
  <c r="C133" i="5"/>
  <c r="C241" i="5"/>
  <c r="C40" i="5"/>
  <c r="C131" i="5"/>
  <c r="C179" i="5"/>
  <c r="C268" i="5"/>
  <c r="C36" i="5"/>
  <c r="C52" i="5"/>
  <c r="C68" i="5"/>
  <c r="C84" i="5"/>
  <c r="C100" i="5"/>
  <c r="C116" i="5"/>
  <c r="C143" i="5"/>
  <c r="C159" i="5"/>
  <c r="C175" i="5"/>
  <c r="C191" i="5"/>
  <c r="C207" i="5"/>
  <c r="C223" i="5"/>
  <c r="C239" i="5"/>
  <c r="C23" i="5"/>
  <c r="C39" i="5"/>
  <c r="C55" i="5"/>
  <c r="C71" i="5"/>
  <c r="C87" i="5"/>
  <c r="C103" i="5"/>
  <c r="C127" i="5"/>
  <c r="C130" i="5"/>
  <c r="C146" i="5"/>
  <c r="C162" i="5"/>
  <c r="C178" i="5"/>
  <c r="C194" i="5"/>
  <c r="C210" i="5"/>
  <c r="C226" i="5"/>
  <c r="C242" i="5"/>
  <c r="C72" i="5"/>
  <c r="C4" i="5"/>
  <c r="C7" i="5"/>
  <c r="C20" i="5"/>
  <c r="C254" i="5"/>
  <c r="C257" i="5"/>
  <c r="C277" i="5"/>
  <c r="C282" i="5"/>
  <c r="C24" i="5"/>
  <c r="C147" i="5"/>
  <c r="C88" i="5"/>
  <c r="C267" i="5"/>
  <c r="C56" i="5"/>
  <c r="C25" i="5"/>
  <c r="C126" i="5"/>
  <c r="C132" i="5"/>
  <c r="C148" i="5"/>
  <c r="C164" i="5"/>
  <c r="C180" i="5"/>
  <c r="C212" i="5"/>
  <c r="C289" i="5"/>
  <c r="C9" i="5"/>
  <c r="C41" i="5"/>
  <c r="C104" i="5"/>
  <c r="C163" i="5"/>
  <c r="C16" i="5"/>
  <c r="C15" i="5"/>
  <c r="C63" i="5"/>
  <c r="C79" i="5"/>
  <c r="C95" i="5"/>
  <c r="C111" i="5"/>
  <c r="C138" i="5"/>
  <c r="C154" i="5"/>
  <c r="C170" i="5"/>
  <c r="C186" i="5"/>
  <c r="C202" i="5"/>
  <c r="C218" i="5"/>
  <c r="C234" i="5"/>
  <c r="C250" i="5"/>
  <c r="C276" i="5"/>
  <c r="C281" i="5"/>
  <c r="C31" i="5"/>
  <c r="C47" i="5"/>
  <c r="C271" i="5"/>
</calcChain>
</file>

<file path=xl/sharedStrings.xml><?xml version="1.0" encoding="utf-8"?>
<sst xmlns="http://schemas.openxmlformats.org/spreadsheetml/2006/main" count="4970" uniqueCount="577">
  <si>
    <t>Build</t>
  </si>
  <si>
    <t>Room</t>
  </si>
  <si>
    <t>Task</t>
  </si>
  <si>
    <t>Days</t>
  </si>
  <si>
    <t>Worker</t>
  </si>
  <si>
    <t>Instructions</t>
  </si>
  <si>
    <t>Equipment</t>
  </si>
  <si>
    <t>Mon</t>
  </si>
  <si>
    <t>Tue</t>
  </si>
  <si>
    <t>Wed</t>
  </si>
  <si>
    <t>Thu</t>
  </si>
  <si>
    <t>Fri</t>
  </si>
  <si>
    <t>SB</t>
  </si>
  <si>
    <t>Vacuum Light Traffic</t>
  </si>
  <si>
    <t>Josh</t>
  </si>
  <si>
    <t>Empty Trash Bathroom</t>
  </si>
  <si>
    <t>Stock Bathroom Supplies</t>
  </si>
  <si>
    <t>Sweep</t>
  </si>
  <si>
    <t>Wipe down Sink</t>
  </si>
  <si>
    <t>Wipe down Toilets</t>
  </si>
  <si>
    <t>Wipe down Urinals</t>
  </si>
  <si>
    <t>Stairs</t>
  </si>
  <si>
    <t>Vacuum Stairs</t>
  </si>
  <si>
    <t>NB</t>
  </si>
  <si>
    <t>Empty Trash Large</t>
  </si>
  <si>
    <t>Wipe down Tables</t>
  </si>
  <si>
    <t>Spot Clean Glass</t>
  </si>
  <si>
    <t>Gym</t>
  </si>
  <si>
    <t>Breakdown Sunday</t>
  </si>
  <si>
    <t>Mop</t>
  </si>
  <si>
    <t>Vacuum Rugs</t>
  </si>
  <si>
    <t>Clean Carpets</t>
  </si>
  <si>
    <t>Lobby</t>
  </si>
  <si>
    <t>Spot Clean Door Glass</t>
  </si>
  <si>
    <t>Sweep Stairs</t>
  </si>
  <si>
    <t>Vacuum High Traffic</t>
  </si>
  <si>
    <t>Empty Trash Small</t>
  </si>
  <si>
    <t>Sanctuary</t>
  </si>
  <si>
    <t>Pickup Trash</t>
  </si>
  <si>
    <t>Straighten Chairs</t>
  </si>
  <si>
    <t>Wipe down Stair Rails</t>
  </si>
  <si>
    <t>Stage</t>
  </si>
  <si>
    <t>Ryan</t>
  </si>
  <si>
    <t>Scrub Sinks</t>
  </si>
  <si>
    <t>Stock Kitchen Supplies</t>
  </si>
  <si>
    <t>Wipe down Counters</t>
  </si>
  <si>
    <t>Elevator</t>
  </si>
  <si>
    <t>Disinfect Changing Table</t>
  </si>
  <si>
    <t>Empty Diaper Genie</t>
  </si>
  <si>
    <t>Disinfect Water Fountain</t>
  </si>
  <si>
    <t>Kitchen</t>
  </si>
  <si>
    <t>Wash Towels</t>
  </si>
  <si>
    <t xml:space="preserve"> </t>
  </si>
  <si>
    <t>Scrub Toilets</t>
  </si>
  <si>
    <t>Scrub Urinals</t>
  </si>
  <si>
    <t>Spot Clean Mirrors</t>
  </si>
  <si>
    <t>Scrub Showers</t>
  </si>
  <si>
    <t>Chapel</t>
  </si>
  <si>
    <t>Fellowship</t>
  </si>
  <si>
    <t>NB Gym</t>
  </si>
  <si>
    <t>NB Hallway_Downstairs</t>
  </si>
  <si>
    <t>NB Hallway_Upstairs</t>
  </si>
  <si>
    <t>NB Sanctuary</t>
  </si>
  <si>
    <t>NB Lobby</t>
  </si>
  <si>
    <t>NB Fireside_Room</t>
  </si>
  <si>
    <t>NB RR_Men_Downstairs_North</t>
  </si>
  <si>
    <t>NB RR_Men_Downstairs_South</t>
  </si>
  <si>
    <t>NB RR_Men_Upstairs</t>
  </si>
  <si>
    <t>NB RR_Nursery</t>
  </si>
  <si>
    <t>NB RR_Preschool</t>
  </si>
  <si>
    <t>NB RR_Women_Downstairs_North</t>
  </si>
  <si>
    <t>NB RR_Women_Downstairs_South</t>
  </si>
  <si>
    <t>NB RR_Women_Upstairs</t>
  </si>
  <si>
    <t>NB Family_Room</t>
  </si>
  <si>
    <t>NB Setup</t>
  </si>
  <si>
    <t>NB Cafe</t>
  </si>
  <si>
    <t>NB Coffee_Prep</t>
  </si>
  <si>
    <t>NB Kitchen</t>
  </si>
  <si>
    <t>NB Showers_Men</t>
  </si>
  <si>
    <t>NB Showers_Women</t>
  </si>
  <si>
    <t>NB Backstage</t>
  </si>
  <si>
    <t>NB Children's_Lobby</t>
  </si>
  <si>
    <t>NB Counseling_Room</t>
  </si>
  <si>
    <t>NB CR_201</t>
  </si>
  <si>
    <t>NB CR_202</t>
  </si>
  <si>
    <t>NB CR_203</t>
  </si>
  <si>
    <t>NB CR_204</t>
  </si>
  <si>
    <t>NB CR_Preschool_East</t>
  </si>
  <si>
    <t>NB CR_Preschool_West</t>
  </si>
  <si>
    <t>NB Nursery_Lobby</t>
  </si>
  <si>
    <t>NB Office_Downstairs</t>
  </si>
  <si>
    <t>NB Office_Upstairs</t>
  </si>
  <si>
    <t>NB Prayer_Rooms</t>
  </si>
  <si>
    <t>NB Preschool_Lobby</t>
  </si>
  <si>
    <t>NB Security_Room</t>
  </si>
  <si>
    <t>NB Staff_Break_Room</t>
  </si>
  <si>
    <t>NB Women's_Lounge_Downstairs</t>
  </si>
  <si>
    <t>NB Women's_Lounge_Upstairs</t>
  </si>
  <si>
    <t>NB Elevator</t>
  </si>
  <si>
    <t>NB Nursery_Main</t>
  </si>
  <si>
    <t>NB Preschool_Main</t>
  </si>
  <si>
    <t>NB Stage</t>
  </si>
  <si>
    <t>SB RR_Men_East</t>
  </si>
  <si>
    <t>SB RR_Men_West</t>
  </si>
  <si>
    <t>SB RR_Women_East</t>
  </si>
  <si>
    <t>SB RR_Women_West</t>
  </si>
  <si>
    <t>SB Setup</t>
  </si>
  <si>
    <t>SB Kitchen</t>
  </si>
  <si>
    <t>SB Chapel</t>
  </si>
  <si>
    <t>SB CR_100</t>
  </si>
  <si>
    <t>SB CR_101</t>
  </si>
  <si>
    <t>SB CR_102</t>
  </si>
  <si>
    <t>SB CR_103</t>
  </si>
  <si>
    <t>SB CR_104</t>
  </si>
  <si>
    <t>SB CR_201</t>
  </si>
  <si>
    <t>SB CR_202</t>
  </si>
  <si>
    <t>SB CR_203</t>
  </si>
  <si>
    <t>SB CR_204</t>
  </si>
  <si>
    <t>SB CR_205</t>
  </si>
  <si>
    <t>SB Fellowship</t>
  </si>
  <si>
    <t>SB Lobby</t>
  </si>
  <si>
    <t>SB Stairs</t>
  </si>
  <si>
    <t>SB Hallway_Downstairs</t>
  </si>
  <si>
    <t>SB Hallway_Upstairs</t>
  </si>
  <si>
    <t>SB Stage</t>
  </si>
  <si>
    <t>2in1 Cleaner</t>
  </si>
  <si>
    <t>Backpack Vacuum</t>
  </si>
  <si>
    <t>Barkeepers Friend</t>
  </si>
  <si>
    <t>Broom</t>
  </si>
  <si>
    <t>Carpet Cleaner</t>
  </si>
  <si>
    <t>Carpet Cleaner Solution</t>
  </si>
  <si>
    <t>Corded Vacuum</t>
  </si>
  <si>
    <t>Diaper Genie Refill</t>
  </si>
  <si>
    <t>Feminine Hygiene Bags</t>
  </si>
  <si>
    <t>Floor Cleaner</t>
  </si>
  <si>
    <t>Glass Cleaner</t>
  </si>
  <si>
    <t>Hand Soap Refill</t>
  </si>
  <si>
    <t>Hand Towel Refill</t>
  </si>
  <si>
    <t>Handheld Vacuum</t>
  </si>
  <si>
    <t>Paper Towel</t>
  </si>
  <si>
    <t>Shower Brush</t>
  </si>
  <si>
    <t>Sink Brush</t>
  </si>
  <si>
    <t>Toilet Bowl Cleaner</t>
  </si>
  <si>
    <t>Toilet Brush</t>
  </si>
  <si>
    <t>Toilet Paper Refill</t>
  </si>
  <si>
    <t>Trash bag Black</t>
  </si>
  <si>
    <t>Trash bag Clear</t>
  </si>
  <si>
    <t>Wipe down Tables with 2in1 and put away. Empty Coffee Trash. Roll up Rugs and store above Tables. Put Communion Elements in Refrigerator.</t>
  </si>
  <si>
    <t>x</t>
  </si>
  <si>
    <t>Use Carpet Machine to clean Coffee Stains.</t>
  </si>
  <si>
    <t>Spray 2in1 on a Paper Towel and wipe down surfaces.</t>
  </si>
  <si>
    <t>Spray 2in1 on fountain and wipe off with Paper Towels.</t>
  </si>
  <si>
    <t>Empty from below.</t>
  </si>
  <si>
    <t>Empty trash Including stall bags.</t>
  </si>
  <si>
    <t>Empty trash being careful of leaking bags.</t>
  </si>
  <si>
    <t>Mix 6oz floor cleaner and 3gal hot water in mop bucket.</t>
  </si>
  <si>
    <t>Pickup communion cups and other trash on floor and seats, and in seat backs.</t>
  </si>
  <si>
    <t>If used, spray shower with 2in1, scrub with shower brush, rinse with water.</t>
  </si>
  <si>
    <t>Use Barkeepers Friend in bowl, Scrub with sink brush. Finish with 2in1 and Paper Towels.</t>
  </si>
  <si>
    <t>Scrub Toilet Bowls with Toilet Bowl Cleaner and Toilet Brush. Spray entire Toilet with 2in1 and wipe with Paper Towels.</t>
  </si>
  <si>
    <t>Scrub toilet bowls and urinals with brush and disinfect under seats.</t>
  </si>
  <si>
    <t>Clean handprints off glass doors.</t>
  </si>
  <si>
    <t>Clean visibly dirty spots.</t>
  </si>
  <si>
    <t>Refill Paper Towels, hand soap, Toilet Paper.</t>
  </si>
  <si>
    <t>Refill Paper Towels and hand soap.</t>
  </si>
  <si>
    <t>Arrange chairs in straight rows on floor marks.</t>
  </si>
  <si>
    <t>Sweep Floors with broom.</t>
  </si>
  <si>
    <t>Sweep Stairs with broom.</t>
  </si>
  <si>
    <t>Use Backpack Vacuum.</t>
  </si>
  <si>
    <t>Use corded Vacuum.</t>
  </si>
  <si>
    <t>Use handheld Vacuum from janitorial closet.</t>
  </si>
  <si>
    <t>Collect Towels from kitchens and janitorial closets in both buildings. Wash in Laundry Machine. Fold and return.</t>
  </si>
  <si>
    <t>Spray with 2in1, wipe with Paper Towel.</t>
  </si>
  <si>
    <t>Spray Seat, Rim, and Handle with 2in1, wipe with Paper Towel.</t>
  </si>
  <si>
    <t>Spray Rim and Handle with 2in1, wipe with Paper Towel.</t>
  </si>
  <si>
    <t>Shower brush</t>
  </si>
  <si>
    <t>TYPE</t>
  </si>
  <si>
    <t>CONTENT</t>
  </si>
  <si>
    <t>DESCRIPTION</t>
  </si>
  <si>
    <t>IS_COLLAPSED</t>
  </si>
  <si>
    <t>PRIORITY</t>
  </si>
  <si>
    <t>INDENT</t>
  </si>
  <si>
    <t>AUTHOR</t>
  </si>
  <si>
    <t>RESPONSIBLE</t>
  </si>
  <si>
    <t>DATE</t>
  </si>
  <si>
    <t>DATE_LANG</t>
  </si>
  <si>
    <t>TIMEZONE</t>
  </si>
  <si>
    <t>DURATION</t>
  </si>
  <si>
    <t>DURATION_UNIT</t>
  </si>
  <si>
    <t>DEADLINE</t>
  </si>
  <si>
    <t>DEADLINE_LANG</t>
  </si>
  <si>
    <t>meta</t>
  </si>
  <si>
    <t>view_style=list</t>
  </si>
  <si>
    <t>task</t>
  </si>
  <si>
    <t>k.gunn (48758372)</t>
  </si>
  <si>
    <t>en</t>
  </si>
  <si>
    <t>America/Los_Angeles</t>
  </si>
  <si>
    <t>Breakdown Sunday @NB_Gym</t>
  </si>
  <si>
    <t>Wipe down Tables with 2in1 and put away. Empty Coffee Trash. Roll up Rugs and store above Tables. Put Communion Elements in Refrigerator. / Equipment: 2in1 Cleaner, Paper Towel, Trash bag Black</t>
  </si>
  <si>
    <t>Kevin (55885066)</t>
  </si>
  <si>
    <t>Garrett (57173225)</t>
  </si>
  <si>
    <t>every Mon</t>
  </si>
  <si>
    <t>Clean Carpets @NB_Hallway_Downstairs</t>
  </si>
  <si>
    <t>Use Carpet Machine to clean Coffee Stains. / Equipment: Carpet Cleaner, Carpet Cleaner Solution</t>
  </si>
  <si>
    <t>Ryan (57174722)</t>
  </si>
  <si>
    <t>Clean Carpets @NB_Hallway_Upstairs</t>
  </si>
  <si>
    <t>every Fri</t>
  </si>
  <si>
    <t>Clean Carpets @NB_Sanctuary</t>
  </si>
  <si>
    <t>Disinfect Changing Table @NB_Family_Room</t>
  </si>
  <si>
    <t>Spray 2in1 on a Paper Towel and wipe down surfaces. / Equipment: 2in1 Cleaner, Paper Towel</t>
  </si>
  <si>
    <t>every Wed</t>
  </si>
  <si>
    <t>Disinfect Changing Table @NB_RR_Men_Upstairs</t>
  </si>
  <si>
    <t>every Mon, Wed, Fri</t>
  </si>
  <si>
    <t>Disinfect Changing Table @NB_RR_Women_Upstairs</t>
  </si>
  <si>
    <t>Disinfect Water Fountain @NB_Gym</t>
  </si>
  <si>
    <t>Spray 2in1 on fountain and wipe off with Paper Towels. / Equipment: 2in1 Cleaner, Paper Towel</t>
  </si>
  <si>
    <t>every Thu</t>
  </si>
  <si>
    <t>Disinfect Water Fountain @NB_Hallway_Downstairs</t>
  </si>
  <si>
    <t>Disinfect Water Fountain @NB_Hallway_Upstairs</t>
  </si>
  <si>
    <t>Empty Diaper Genie @NB_Family_Room</t>
  </si>
  <si>
    <t>Empty from below. / Equipment: Diaper Genie Refill</t>
  </si>
  <si>
    <t>Empty Diaper Genie @NB_Nursery_Lobby</t>
  </si>
  <si>
    <t>Empty Diaper Genie @NB_RR_Men_Upstairs</t>
  </si>
  <si>
    <t>Empty Trash Bathroom @NB_RR_Men_Downstairs_North</t>
  </si>
  <si>
    <t>Empty trash Including stall bags. / Equipment: Feminine Hygiene Bags, Trash bag Clear</t>
  </si>
  <si>
    <t>every Mon, Thu</t>
  </si>
  <si>
    <t>Empty Trash Bathroom @NB_RR_Men_Downstairs_South</t>
  </si>
  <si>
    <t>every Mon, Wed, Thu</t>
  </si>
  <si>
    <t>Empty Trash Bathroom @SB_RR_Men_East</t>
  </si>
  <si>
    <t>Cayla (57173614)</t>
  </si>
  <si>
    <t>every Mon, Tue, Wed, Thu, Fri</t>
  </si>
  <si>
    <t>Empty Trash Bathroom @NB_RR_Men_Upstairs</t>
  </si>
  <si>
    <t>Empty Trash Bathroom @SB_RR_Men_West</t>
  </si>
  <si>
    <t>Empty Trash Bathroom @NB_RR_Women_Downstairs_North</t>
  </si>
  <si>
    <t>Empty Trash Bathroom @NB_RR_Women_Downstairs_South</t>
  </si>
  <si>
    <t>Empty Trash Bathroom @SB_RR_Women_East</t>
  </si>
  <si>
    <t>Empty Trash Bathroom @NB_RR_Women_Upstairs</t>
  </si>
  <si>
    <t>Empty Trash Bathroom @SB_RR_Women_West</t>
  </si>
  <si>
    <t>Empty Trash Large @NB_Backstage</t>
  </si>
  <si>
    <t>Empty trash being careful of leaking bags. / Equipment: Trash bag Black</t>
  </si>
  <si>
    <t>Empty Trash Large @NB_Cafe</t>
  </si>
  <si>
    <t>Empty Trash Large @SB_Chapel</t>
  </si>
  <si>
    <t>Empty Trash Large @NB_Coffee_Prep</t>
  </si>
  <si>
    <t>Empty Trash Large @SB_Fellowship</t>
  </si>
  <si>
    <t>Empty Trash Large @NB_Fireside_Room</t>
  </si>
  <si>
    <t>Empty Trash Large @NB_Gym</t>
  </si>
  <si>
    <t>every Mon, Fri</t>
  </si>
  <si>
    <t>Empty Trash Large @NB_Kitchen</t>
  </si>
  <si>
    <t>every Tue</t>
  </si>
  <si>
    <t>Empty Trash Large @SB_Kitchen</t>
  </si>
  <si>
    <t>Empty Trash Large @SB_Lobby</t>
  </si>
  <si>
    <t>Empty Trash Large @NB_Staff_Break_Room</t>
  </si>
  <si>
    <t>Empty Trash Small @NB_Children's_Lobby</t>
  </si>
  <si>
    <t>Empty trash being careful of leaking bags. / Equipment: Trash bag Clear</t>
  </si>
  <si>
    <t>Empty Trash Small @NB_Counseling_Room</t>
  </si>
  <si>
    <t>Empty Trash Small @SB_CR_100</t>
  </si>
  <si>
    <t>Empty Trash Small @SB_CR_101</t>
  </si>
  <si>
    <t>Empty Trash Small @SB_CR_102</t>
  </si>
  <si>
    <t>Empty Trash Small @SB_CR_103</t>
  </si>
  <si>
    <t>Empty Trash Small @SB_CR_104</t>
  </si>
  <si>
    <t>Empty Trash Small @NB_CR_201</t>
  </si>
  <si>
    <t>Empty Trash Small @SB_CR_201</t>
  </si>
  <si>
    <t>Empty Trash Small @NB_CR_202</t>
  </si>
  <si>
    <t>Empty Trash Small @SB_CR_202</t>
  </si>
  <si>
    <t>Empty Trash Small @NB_CR_203</t>
  </si>
  <si>
    <t>Empty Trash Small @SB_CR_203</t>
  </si>
  <si>
    <t>Empty Trash Small @NB_CR_204</t>
  </si>
  <si>
    <t>Empty Trash Small @SB_CR_204</t>
  </si>
  <si>
    <t>Empty Trash Small @SB_CR_205</t>
  </si>
  <si>
    <t>Empty Trash Small @NB_CR_Preschool_East</t>
  </si>
  <si>
    <t>Empty Trash Small @NB_CR_Preschool_West</t>
  </si>
  <si>
    <t>Empty Trash Small @NB_Family_Room</t>
  </si>
  <si>
    <t>Empty Trash Small @NB_Nursery_Lobby</t>
  </si>
  <si>
    <t>Empty Trash Small @NB_Office_Downstairs</t>
  </si>
  <si>
    <t>Empty Trash Small @NB_Office_Upstairs</t>
  </si>
  <si>
    <t>Empty Trash Small @NB_Prayer_Rooms</t>
  </si>
  <si>
    <t>Empty Trash Small @NB_Preschool_Lobby</t>
  </si>
  <si>
    <t>Empty Trash Small @NB_RR_Nursery</t>
  </si>
  <si>
    <t>Empty Trash Small @NB_RR_Preschool</t>
  </si>
  <si>
    <t>Empty Trash Small @NB_Security_Room</t>
  </si>
  <si>
    <t>Empty Trash Small @NB_Women's_Lounge_Downstairs</t>
  </si>
  <si>
    <t>Empty Trash Small @NB_Women's_Lounge_Upstairs</t>
  </si>
  <si>
    <t>Mop @NB_Cafe</t>
  </si>
  <si>
    <t>Mix 6oz floor cleaner and 3gal hot water in mop bucket. / Equipment: Floor Cleaner, Mop</t>
  </si>
  <si>
    <t>Mop @NB_Coffee_Prep</t>
  </si>
  <si>
    <t>Mop @NB_Gym</t>
  </si>
  <si>
    <t>Mop @NB_Kitchen</t>
  </si>
  <si>
    <t>Mop @SB_Kitchen</t>
  </si>
  <si>
    <t>Mop @NB_RR_Men_Downstairs_North</t>
  </si>
  <si>
    <t>Mop @NB_RR_Men_Downstairs_South</t>
  </si>
  <si>
    <t>Mop @SB_RR_Men_East</t>
  </si>
  <si>
    <t>Mop @NB_RR_Men_Upstairs</t>
  </si>
  <si>
    <t>Mop @SB_RR_Men_West</t>
  </si>
  <si>
    <t>Mop @NB_RR_Nursery</t>
  </si>
  <si>
    <t>Mop @NB_RR_Preschool</t>
  </si>
  <si>
    <t>Mop @NB_RR_Women_Downstairs_North</t>
  </si>
  <si>
    <t>Mop @NB_RR_Women_Downstairs_South</t>
  </si>
  <si>
    <t>Mop @SB_RR_Women_East</t>
  </si>
  <si>
    <t>Mop @NB_RR_Women_Upstairs</t>
  </si>
  <si>
    <t>Mop @SB_RR_Women_West</t>
  </si>
  <si>
    <t>Mop @NB_Showers_Men</t>
  </si>
  <si>
    <t>Mop @NB_Showers_Women</t>
  </si>
  <si>
    <t>Pickup Trash @NB_Sanctuary</t>
  </si>
  <si>
    <t>Pickup communion cups and other trash on floor and seats, and in seat backs. / Equipment: Trash bag Black</t>
  </si>
  <si>
    <t>Scrub Showers @NB_Showers_Men</t>
  </si>
  <si>
    <t>If used, spray shower with 2in1, scrub with shower brush, rinse with water. / Equipment: 2in1 Cleaner, Shower Brush</t>
  </si>
  <si>
    <t>Scrub Showers @NB_Showers_Women</t>
  </si>
  <si>
    <t>Scrub Sinks @NB_Cafe</t>
  </si>
  <si>
    <t>Use Barkeepers Friend in bowl, Scrub with sink brush. Finish with 2in1 and Paper Towels. / Equipment: Barkeepers Friend, Sink Brush</t>
  </si>
  <si>
    <t>Scrub Sinks @NB_Kitchen</t>
  </si>
  <si>
    <t>Scrub Sinks @NB_RR_Men_Downstairs_North</t>
  </si>
  <si>
    <t>Scrub Sinks @NB_RR_Men_Downstairs_South</t>
  </si>
  <si>
    <t>Scrub Sinks @NB_RR_Men_Upstairs</t>
  </si>
  <si>
    <t>Scrub Sinks @NB_RR_Nursery</t>
  </si>
  <si>
    <t>Scrub Sinks @NB_RR_Preschool</t>
  </si>
  <si>
    <t>Scrub Sinks @NB_RR_Women_Downstairs_North</t>
  </si>
  <si>
    <t>Scrub Sinks @NB_RR_Women_Downstairs_South</t>
  </si>
  <si>
    <t>Scrub Sinks @NB_RR_Women_Upstairs</t>
  </si>
  <si>
    <t>Scrub Urinals @NB_RR_Men_Downstairs_North</t>
  </si>
  <si>
    <t>Scrub toilet bowls and urinals with brush and disinfect under seats. / Equipment: 2in1 Cleaner, Paper Towel, Toilet Bowl Cleaner, Toilet Brush</t>
  </si>
  <si>
    <t>Scrub Urinals @NB_RR_Men_Downstairs_South</t>
  </si>
  <si>
    <t>Scrub Urinals @SB_RR_Men_East</t>
  </si>
  <si>
    <t>Scrub Urinals @NB_RR_Men_Upstairs</t>
  </si>
  <si>
    <t>Scrub Urinals @SB_RR_Men_West</t>
  </si>
  <si>
    <t>Scrub Toilets @NB_RR_Men_Downstairs_North</t>
  </si>
  <si>
    <t>Scrub Toilet Bowls with Toilet Bowl Cleaner and Toilet Brush. Spray entire Toilet with 2in1 and wipe with Paper Towels. / Equipment: 2in1 Cleaner, Paper Towel, Toilet Bowl Cleaner, Toilet Brush</t>
  </si>
  <si>
    <t>Scrub Toilets @NB_RR_Men_Downstairs_South</t>
  </si>
  <si>
    <t>Scrub Toilets @SB_RR_Men_East</t>
  </si>
  <si>
    <t>Scrub Toilets @NB_RR_Men_Upstairs</t>
  </si>
  <si>
    <t>Scrub Toilets @SB_RR_Men_West</t>
  </si>
  <si>
    <t>Scrub Toilets @NB_RR_Nursery</t>
  </si>
  <si>
    <t>Scrub Toilets @NB_RR_Preschool</t>
  </si>
  <si>
    <t>Scrub Toilets @NB_RR_Women_Downstairs_North</t>
  </si>
  <si>
    <t>Scrub Toilets @NB_RR_Women_Downstairs_South</t>
  </si>
  <si>
    <t>Scrub Toilets @SB_RR_Women_East</t>
  </si>
  <si>
    <t>Scrub Toilets @NB_RR_Women_Upstairs</t>
  </si>
  <si>
    <t>Scrub Toilets @SB_RR_Women_West</t>
  </si>
  <si>
    <t>Spot Clean Door Glass @NB_Lobby</t>
  </si>
  <si>
    <t>Clean handprints off glass doors. / Equipment: Glass Cleaner, Paper Towel</t>
  </si>
  <si>
    <t>Spot Clean Glass @NB_Fireside_Room</t>
  </si>
  <si>
    <t>Clean visibly dirty spots. / Equipment: Glass Cleaner, Paper Towel</t>
  </si>
  <si>
    <t>Spot Clean Glass @NB_Hallway_Upstairs</t>
  </si>
  <si>
    <t>Spot Clean Glass @NB_Sanctuary</t>
  </si>
  <si>
    <t>Spot Clean Mirrors @NB_RR_Men_Downstairs_North</t>
  </si>
  <si>
    <t>Spot Clean Mirrors @NB_RR_Men_Downstairs_South</t>
  </si>
  <si>
    <t>Spot Clean Mirrors @SB_RR_Men_East</t>
  </si>
  <si>
    <t>Spot Clean Mirrors @NB_RR_Men_Upstairs</t>
  </si>
  <si>
    <t>Spot Clean Mirrors @SB_RR_Men_West</t>
  </si>
  <si>
    <t>Spot Clean Mirrors @NB_RR_Nursery</t>
  </si>
  <si>
    <t>Spot Clean Mirrors @NB_RR_Preschool</t>
  </si>
  <si>
    <t>Spot Clean Mirrors @NB_RR_Women_Downstairs_North</t>
  </si>
  <si>
    <t>Spot Clean Mirrors @NB_RR_Women_Downstairs_South</t>
  </si>
  <si>
    <t>Spot Clean Mirrors @SB_RR_Women_East</t>
  </si>
  <si>
    <t>Spot Clean Mirrors @NB_RR_Women_Upstairs</t>
  </si>
  <si>
    <t>Spot Clean Mirrors @SB_RR_Women_West</t>
  </si>
  <si>
    <t>Stock Bathroom Supplies @NB_RR_Men_Downstairs_North</t>
  </si>
  <si>
    <t>Refill Paper Towels, hand soap, Toilet Paper. / Equipment: Hand Soap Refill, Hand Towel Refill, Toilet Paper Refill</t>
  </si>
  <si>
    <t>Stock Bathroom Supplies @NB_RR_Men_Downstairs_South</t>
  </si>
  <si>
    <t>Stock Bathroom Supplies @SB_RR_Men_East</t>
  </si>
  <si>
    <t>Stock Bathroom Supplies @NB_RR_Men_Upstairs</t>
  </si>
  <si>
    <t>Stock Bathroom Supplies @SB_RR_Men_West</t>
  </si>
  <si>
    <t>Stock Bathroom Supplies @NB_RR_Nursery</t>
  </si>
  <si>
    <t>Stock Bathroom Supplies @NB_RR_Preschool</t>
  </si>
  <si>
    <t>Stock Bathroom Supplies @NB_RR_Women_Downstairs_North</t>
  </si>
  <si>
    <t>Stock Bathroom Supplies @NB_RR_Women_Downstairs_South</t>
  </si>
  <si>
    <t>Stock Bathroom Supplies @SB_RR_Women_East</t>
  </si>
  <si>
    <t>Stock Bathroom Supplies @NB_RR_Women_Upstairs</t>
  </si>
  <si>
    <t>Stock Bathroom Supplies @SB_RR_Women_West</t>
  </si>
  <si>
    <t>Stock Kitchen Supplies @NB_Cafe</t>
  </si>
  <si>
    <t>Refill Paper Towels and hand soap. / Equipment:</t>
  </si>
  <si>
    <t>Stock Kitchen Supplies @NB_Kitchen</t>
  </si>
  <si>
    <t>Stock Kitchen Supplies @SB_Kitchen</t>
  </si>
  <si>
    <t>Sweep @NB_Cafe</t>
  </si>
  <si>
    <t>Sweep Floors with broom. / Equipment: Broom</t>
  </si>
  <si>
    <t>Sweep @NB_Coffee_Prep</t>
  </si>
  <si>
    <t>Sweep @NB_Gym</t>
  </si>
  <si>
    <t>Sweep @NB_Kitchen</t>
  </si>
  <si>
    <t>Sweep @SB_Kitchen</t>
  </si>
  <si>
    <t>Sweep @NB_RR_Men_Downstairs_North</t>
  </si>
  <si>
    <t>Sweep @NB_RR_Men_Downstairs_South</t>
  </si>
  <si>
    <t>Sweep @SB_RR_Men_East</t>
  </si>
  <si>
    <t>Sweep @NB_RR_Men_Upstairs</t>
  </si>
  <si>
    <t>Sweep @SB_RR_Men_West</t>
  </si>
  <si>
    <t>Sweep @NB_RR_Nursery</t>
  </si>
  <si>
    <t>Sweep @NB_RR_Preschool</t>
  </si>
  <si>
    <t>Sweep @NB_RR_Women_Downstairs_North</t>
  </si>
  <si>
    <t>Sweep @NB_RR_Women_Downstairs_South</t>
  </si>
  <si>
    <t>Sweep @SB_RR_Women_East</t>
  </si>
  <si>
    <t>Sweep @NB_RR_Women_Upstairs</t>
  </si>
  <si>
    <t>Sweep @SB_RR_Women_West</t>
  </si>
  <si>
    <t>Sweep @NB_Showers_Men</t>
  </si>
  <si>
    <t>Sweep @NB_Showers_Women</t>
  </si>
  <si>
    <t>Sweep Stairs @NB_Lobby</t>
  </si>
  <si>
    <t>Sweep Stairs with broom. / Equipment: Broom</t>
  </si>
  <si>
    <t>Vacuum High Traffic @NB_Lobby</t>
  </si>
  <si>
    <t>Use corded Vacuum. / Equipment: Corded Vacuum</t>
  </si>
  <si>
    <t>Vacuum Light Traffic @NB_Backstage</t>
  </si>
  <si>
    <t>Use Backpack Vacuum. / Equipment: Backpack Vacuum</t>
  </si>
  <si>
    <t>Vacuum Light Traffic @SB_Chapel</t>
  </si>
  <si>
    <t>Vacuum Light Traffic @NB_Children's_Lobby</t>
  </si>
  <si>
    <t>Vacuum Light Traffic @NB_Counseling_Room</t>
  </si>
  <si>
    <t>Vacuum Light Traffic @SB_CR_100</t>
  </si>
  <si>
    <t>Vacuum Light Traffic @SB_CR_101</t>
  </si>
  <si>
    <t>Vacuum Light Traffic @SB_CR_102</t>
  </si>
  <si>
    <t>Vacuum Light Traffic @SB_CR_103</t>
  </si>
  <si>
    <t>Vacuum Light Traffic @SB_CR_104</t>
  </si>
  <si>
    <t>Vacuum Light Traffic @SB_CR_201</t>
  </si>
  <si>
    <t>Vacuum Light Traffic @NB_CR_201</t>
  </si>
  <si>
    <t>Vacuum Light Traffic @SB_CR_202</t>
  </si>
  <si>
    <t>Vacuum Light Traffic @NB_CR_202</t>
  </si>
  <si>
    <t>Vacuum Light Traffic @SB_CR_203</t>
  </si>
  <si>
    <t>Vacuum Light Traffic @NB_CR_203</t>
  </si>
  <si>
    <t>Vacuum Light Traffic @SB_CR_204</t>
  </si>
  <si>
    <t>Vacuum Light Traffic @NB_CR_204</t>
  </si>
  <si>
    <t>Vacuum Light Traffic @SB_CR_205</t>
  </si>
  <si>
    <t>Vacuum Light Traffic @NB_CR_Preschool_East</t>
  </si>
  <si>
    <t>Vacuum Light Traffic @NB_CR_Preschool_West</t>
  </si>
  <si>
    <t>Vacuum Light Traffic @NB_Elevator</t>
  </si>
  <si>
    <t>Vacuum Light Traffic @NB_Family_Room</t>
  </si>
  <si>
    <t>Vacuum Light Traffic @SB_Fellowship</t>
  </si>
  <si>
    <t>Vacuum Light Traffic @NB_Fireside_Room</t>
  </si>
  <si>
    <t>Vacuum Light Traffic @SB_Hallway_Downstairs</t>
  </si>
  <si>
    <t>Vacuum Light Traffic @NB_Hallway_Downstairs</t>
  </si>
  <si>
    <t>Vacuum Light Traffic @SB_Hallway_Upstairs</t>
  </si>
  <si>
    <t>Vacuum Light Traffic @NB_Hallway_Upstairs</t>
  </si>
  <si>
    <t>Vacuum Light Traffic @SB_Lobby</t>
  </si>
  <si>
    <t>Vacuum Light Traffic @NB_Nursery_Lobby</t>
  </si>
  <si>
    <t>Vacuum Light Traffic @NB_Nursery_Main</t>
  </si>
  <si>
    <t>Vacuum Light Traffic @NB_Office_Downstairs</t>
  </si>
  <si>
    <t>Vacuum Light Traffic @NB_Office_Upstairs</t>
  </si>
  <si>
    <t>Vacuum Light Traffic @NB_Prayer_Rooms</t>
  </si>
  <si>
    <t>Vacuum Light Traffic @NB_Preschool_Lobby</t>
  </si>
  <si>
    <t>Vacuum Light Traffic @NB_Preschool_Main</t>
  </si>
  <si>
    <t>Vacuum Light Traffic @NB_Sanctuary</t>
  </si>
  <si>
    <t>Vacuum Light Traffic @NB_Security_Room</t>
  </si>
  <si>
    <t>Vacuum Light Traffic @NB_Staff_Break_Room</t>
  </si>
  <si>
    <t>Vacuum Light Traffic @SB_Stage</t>
  </si>
  <si>
    <t>Vacuum Light Traffic @NB_Stage</t>
  </si>
  <si>
    <t>Vacuum Light Traffic @NB_Women's_Lounge_Downstairs</t>
  </si>
  <si>
    <t>Vacuum Light Traffic @NB_Women's_Lounge_Upstairs</t>
  </si>
  <si>
    <t>Vacuum Stairs @NB_Children's_Lobby</t>
  </si>
  <si>
    <t>Use handheld Vacuum from janitorial closet. / Equipment: Handheld Vacuum</t>
  </si>
  <si>
    <t>Vacuum Stairs @NB_Gym</t>
  </si>
  <si>
    <t>Vacuum Rugs @NB_Gym</t>
  </si>
  <si>
    <t>Vacuum Stairs @NB_Sanctuary</t>
  </si>
  <si>
    <t>Straighten Chairs @NB_Sanctuary</t>
  </si>
  <si>
    <t>Arrange chairs in straight rows on floor marks. / Equipment:</t>
  </si>
  <si>
    <t>Vacuum Stairs @SB_Stairs</t>
  </si>
  <si>
    <t>Wash Towels @NB_Kitchen</t>
  </si>
  <si>
    <t>Collect Towels from kitchens and janitorial closets in both buildings. Wash in Laundry Machine. Fold and return. / Equipment:</t>
  </si>
  <si>
    <t>Wash Towels @SB_Kitchen</t>
  </si>
  <si>
    <t>Wipe down Counters @NB_Cafe</t>
  </si>
  <si>
    <t>Spray with 2in1, wipe with Paper Towel. / Equipment: 2in1 Cleaner, Paper Towel</t>
  </si>
  <si>
    <t>Wipe down Counters @SB_CR_101</t>
  </si>
  <si>
    <t>Wipe down Counters @SB_CR_102</t>
  </si>
  <si>
    <t>Wipe down Counters @SB_CR_103</t>
  </si>
  <si>
    <t>Wipe down Counters @SB_CR_205</t>
  </si>
  <si>
    <t>Wipe down Counters @NB_CR_Preschool_East</t>
  </si>
  <si>
    <t>Wipe down Counters @NB_CR_Preschool_West</t>
  </si>
  <si>
    <t>Wipe down Counters @SB_Kitchen</t>
  </si>
  <si>
    <t>Wipe down Counters @NB_Nursery_Main</t>
  </si>
  <si>
    <t>Wipe down Counters @NB_Preschool_Lobby</t>
  </si>
  <si>
    <t>Wipe down Counters @NB_RR_Men_Downstairs_North</t>
  </si>
  <si>
    <t>Wipe down Counters @NB_RR_Men_Downstairs_South</t>
  </si>
  <si>
    <t>Wipe down Counters @NB_RR_Men_Upstairs</t>
  </si>
  <si>
    <t>Wipe down Counters @NB_RR_Nursery</t>
  </si>
  <si>
    <t>Wipe down Counters @NB_RR_Preschool</t>
  </si>
  <si>
    <t>Wipe down Counters @NB_RR_Women_Downstairs_North</t>
  </si>
  <si>
    <t>Wipe down Counters @NB_RR_Women_Downstairs_South</t>
  </si>
  <si>
    <t>Wipe down Counters @NB_RR_Women_Upstairs</t>
  </si>
  <si>
    <t>Wipe down Counters @NB_Staff_Break_Room</t>
  </si>
  <si>
    <t>Wipe down Sink @NB_Cafe</t>
  </si>
  <si>
    <t>Wipe down Sink @SB_CR_102</t>
  </si>
  <si>
    <t>Wipe down Sink @SB_CR_103</t>
  </si>
  <si>
    <t>Wipe down Sink @SB_Kitchen</t>
  </si>
  <si>
    <t>Wipe down Sink @NB_RR_Men_Downstairs_North</t>
  </si>
  <si>
    <t>Wipe down Sink @NB_RR_Men_Downstairs_South</t>
  </si>
  <si>
    <t>Wipe down Sink @SB_RR_Men_East</t>
  </si>
  <si>
    <t>Wipe down Sink @NB_RR_Men_Upstairs</t>
  </si>
  <si>
    <t>Wipe down Sink @SB_RR_Men_West</t>
  </si>
  <si>
    <t>Wipe down Sink @NB_RR_Nursery</t>
  </si>
  <si>
    <t>Wipe down Sink @NB_RR_Preschool</t>
  </si>
  <si>
    <t>Wipe down Sink @NB_RR_Women_Downstairs_North</t>
  </si>
  <si>
    <t>Wipe down Sink @NB_RR_Women_Downstairs_South</t>
  </si>
  <si>
    <t>Wipe down Sink @SB_RR_Women_East</t>
  </si>
  <si>
    <t>Wipe down Sink @NB_RR_Women_Upstairs</t>
  </si>
  <si>
    <t>Wipe down Sink @SB_RR_Women_West</t>
  </si>
  <si>
    <t>Wipe down Stair Rails @NB_Children's_Lobby</t>
  </si>
  <si>
    <t>Wipe down Stair Rails @NB_Gym</t>
  </si>
  <si>
    <t>Wipe down Stair Rails @NB_Lobby</t>
  </si>
  <si>
    <t>Wipe down Stair Rails @NB_Nursery_Lobby</t>
  </si>
  <si>
    <t>Wipe down Stair Rails @NB_Sanctuary</t>
  </si>
  <si>
    <t>Wipe down Tables @NB_Backstage</t>
  </si>
  <si>
    <t>Wipe down Tables @NB_Cafe</t>
  </si>
  <si>
    <t>Wipe down Tables @NB_Children's_Lobby</t>
  </si>
  <si>
    <t>Wipe down Tables @NB_Counseling_Room</t>
  </si>
  <si>
    <t>Wipe down Tables @SB_CR_100</t>
  </si>
  <si>
    <t>Wipe down Tables @SB_CR_101</t>
  </si>
  <si>
    <t>Wipe down Tables @SB_CR_102</t>
  </si>
  <si>
    <t>Wipe down Tables @SB_CR_103</t>
  </si>
  <si>
    <t>Wipe down Tables @SB_CR_104</t>
  </si>
  <si>
    <t>Wipe down Tables @NB_CR_201</t>
  </si>
  <si>
    <t>Wipe down Tables @SB_CR_201</t>
  </si>
  <si>
    <t>Wipe down Tables @NB_CR_202</t>
  </si>
  <si>
    <t>Wipe down Tables @SB_CR_202</t>
  </si>
  <si>
    <t>Wipe down Tables @NB_CR_203</t>
  </si>
  <si>
    <t>Wipe down Tables @SB_CR_203</t>
  </si>
  <si>
    <t>Wipe down Tables @NB_CR_204</t>
  </si>
  <si>
    <t>Wipe down Tables @SB_CR_204</t>
  </si>
  <si>
    <t>Wipe down Tables @SB_CR_205</t>
  </si>
  <si>
    <t>Wipe down Tables @NB_Fireside_Room</t>
  </si>
  <si>
    <t>Wipe down Tables @NB_Prayer_Rooms</t>
  </si>
  <si>
    <t>Wipe down Tables @NB_Staff_Break_Room</t>
  </si>
  <si>
    <t>Wipe down Toilets @NB_RR_Men_Downstairs_North</t>
  </si>
  <si>
    <t>Spray Seat, Rim, and Handle with 2in1, wipe with Paper Towel. / Equipment: 2in1 Cleaner, Paper Towel</t>
  </si>
  <si>
    <t>Wipe down Toilets @NB_RR_Men_Downstairs_South</t>
  </si>
  <si>
    <t>Wipe down Toilets @SB_RR_Men_East</t>
  </si>
  <si>
    <t>Wipe down Toilets @NB_RR_Men_Upstairs</t>
  </si>
  <si>
    <t>Wipe down Toilets @SB_RR_Men_West</t>
  </si>
  <si>
    <t>Wipe down Urinals @NB_RR_Men_Downstairs_North</t>
  </si>
  <si>
    <t>Spray Rim and Handle with 2in1, wipe with Paper Towel. / Equipment: 2in1 Cleaner, Paper Towel</t>
  </si>
  <si>
    <t>Wipe down Urinals @NB_RR_Men_Downstairs_South</t>
  </si>
  <si>
    <t>Wipe down Urinals @SB_RR_Men_East</t>
  </si>
  <si>
    <t>Wipe down Urinals @NB_RR_Men_Upstairs</t>
  </si>
  <si>
    <t>Wipe down Urinals @SB_RR_Men_West</t>
  </si>
  <si>
    <t>Wipe down Toilets @NB_RR_Nursery</t>
  </si>
  <si>
    <t>Wipe down Toilets @NB_RR_Preschool</t>
  </si>
  <si>
    <t>Wipe down Toilets @NB_RR_Women_Downstairs_North</t>
  </si>
  <si>
    <t>Wipe down Toilets @NB_RR_Women_Downstairs_South</t>
  </si>
  <si>
    <t>every Mon, Wed, Thu, Fri</t>
  </si>
  <si>
    <t>Wipe down Toilets @SB_RR_Women_East</t>
  </si>
  <si>
    <t>Wipe down Toilets @NB_RR_Women_Upstairs</t>
  </si>
  <si>
    <t>Wipe down Toilets @SB_RR_Women_West</t>
  </si>
  <si>
    <t>Cayla</t>
  </si>
  <si>
    <t>Garrett</t>
  </si>
  <si>
    <t>Kevin</t>
  </si>
  <si>
    <t>Josh (58255353)</t>
  </si>
  <si>
    <t>Green Room</t>
  </si>
  <si>
    <t>Fireside Cafe</t>
  </si>
  <si>
    <t>Children's Lobby</t>
  </si>
  <si>
    <t>Coffee</t>
  </si>
  <si>
    <t>Counseling Room</t>
  </si>
  <si>
    <t>Preschool East</t>
  </si>
  <si>
    <t>Preschool West</t>
  </si>
  <si>
    <t>Family Room</t>
  </si>
  <si>
    <t>Fireside Room</t>
  </si>
  <si>
    <t>Corridor A</t>
  </si>
  <si>
    <t>Corridor B</t>
  </si>
  <si>
    <t>Corridor C</t>
  </si>
  <si>
    <t>Corridor D</t>
  </si>
  <si>
    <t>Corridor E</t>
  </si>
  <si>
    <t>Nursery</t>
  </si>
  <si>
    <t>Office Downstairs</t>
  </si>
  <si>
    <t>Office Upstairs</t>
  </si>
  <si>
    <t>Prayer Rooms</t>
  </si>
  <si>
    <t>Preschool Checkin</t>
  </si>
  <si>
    <t>Preschool Main</t>
  </si>
  <si>
    <t>Men's North</t>
  </si>
  <si>
    <t>Men's South</t>
  </si>
  <si>
    <t>Men's East</t>
  </si>
  <si>
    <t>Men's Up</t>
  </si>
  <si>
    <t>Men' West</t>
  </si>
  <si>
    <t>Nursery Restroom</t>
  </si>
  <si>
    <t>Preschool Restroom</t>
  </si>
  <si>
    <t>Women's North</t>
  </si>
  <si>
    <t>Women's South</t>
  </si>
  <si>
    <t>Women's East</t>
  </si>
  <si>
    <t>Women's Up</t>
  </si>
  <si>
    <t>Women's West</t>
  </si>
  <si>
    <t>CommOpps</t>
  </si>
  <si>
    <t>Men's Shower 2</t>
  </si>
  <si>
    <t>Men's Shower 1</t>
  </si>
  <si>
    <t>Women's Shower 1</t>
  </si>
  <si>
    <t>Women's Shower 2</t>
  </si>
  <si>
    <t>Break Room</t>
  </si>
  <si>
    <t>Women's Lounge Up</t>
  </si>
  <si>
    <t>Women's Lounge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</si>
</sst>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0"/>
      <color theme="1"/>
      <name val="Arial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rial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0" xfId="0" applyFont="1"/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/>
    <xf numFmtId="0" fontId="5" fillId="0" borderId="0" xfId="0" applyFont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2"/>
  <sheetViews>
    <sheetView tabSelected="1" workbookViewId="0">
      <selection activeCell="B307" sqref="B307"/>
    </sheetView>
  </sheetViews>
  <sheetFormatPr defaultColWidth="12.5703125" defaultRowHeight="15" customHeight="1" x14ac:dyDescent="0.25"/>
  <cols>
    <col min="1" max="1" width="5.5703125" customWidth="1"/>
    <col min="2" max="2" width="26.28515625" customWidth="1"/>
    <col min="3" max="3" width="22.28515625" customWidth="1"/>
    <col min="4" max="4" width="5.5703125" customWidth="1"/>
    <col min="5" max="5" width="9.7109375" customWidth="1"/>
    <col min="6" max="6" width="18.42578125" customWidth="1"/>
    <col min="7" max="7" width="14.140625" customWidth="1"/>
    <col min="8" max="26" width="5.5703125" customWidth="1"/>
  </cols>
  <sheetData>
    <row r="1" spans="1:2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12</v>
      </c>
      <c r="B2" s="2">
        <v>100</v>
      </c>
      <c r="C2" s="5" t="s">
        <v>36</v>
      </c>
      <c r="D2" s="3">
        <v>4</v>
      </c>
      <c r="E2" s="2" t="s">
        <v>42</v>
      </c>
      <c r="F2" s="4" t="str">
        <f t="array" ref="F2">INDEX(Tasks!$B:$B, MATCH(C2, Tasks!$A:$A, 0))</f>
        <v>Empty trash being careful of leaking bags.</v>
      </c>
      <c r="G2" s="4" t="e">
        <f t="array" aca="1" ref="G2" ca="1">_xludf.LET(
  _xlpm.task,$C2,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" s="4" t="str">
        <f>IFERROR(IF(FIND("1",$D2),H$1,""),"")</f>
        <v/>
      </c>
      <c r="I2" s="4" t="str">
        <f>IFERROR(IF(FIND("2",$D2),I$1,""),"")</f>
        <v/>
      </c>
      <c r="J2" s="4" t="str">
        <f>IFERROR(IF(FIND("3",$D2),J$1,""),"")</f>
        <v/>
      </c>
      <c r="K2" s="4" t="str">
        <f>IFERROR(IF(FIND("4",$D2),K$1,""),"")</f>
        <v>Thu</v>
      </c>
      <c r="L2" s="4" t="str">
        <f>IFERROR(IF(FIND("5",$D2),L$1,""),"")</f>
        <v/>
      </c>
      <c r="M2" s="4" t="e">
        <f t="array" aca="1" ref="M2" ca="1">_xludf.CONCAT("every ",_xludf.TEXTJOIN(", ", TRUE, IF(H2:L2&lt;&gt;"", H2:L2, "")))</f>
        <v>#NAME?</v>
      </c>
    </row>
    <row r="3" spans="1:26" x14ac:dyDescent="0.25">
      <c r="A3" s="2" t="s">
        <v>12</v>
      </c>
      <c r="B3" s="2">
        <v>100</v>
      </c>
      <c r="C3" s="2" t="s">
        <v>13</v>
      </c>
      <c r="D3" s="3">
        <v>1</v>
      </c>
      <c r="E3" s="2" t="s">
        <v>42</v>
      </c>
      <c r="F3" s="4" t="str">
        <f t="array" ref="F3">INDEX(Tasks!$B:$B, MATCH(C3, Tasks!$A:$A, 0))</f>
        <v>Use Backpack Vacuum.</v>
      </c>
      <c r="G3" s="4" t="e">
        <f t="array" aca="1" ref="G3" ca="1">_xludf.LET(
  _xlpm.task,$C3,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3" s="4" t="str">
        <f>IFERROR(IF(FIND("1",$D3),H$1,""),"")</f>
        <v>Mon</v>
      </c>
      <c r="I3" s="4" t="str">
        <f>IFERROR(IF(FIND("2",$D3),I$1,""),"")</f>
        <v/>
      </c>
      <c r="J3" s="4" t="str">
        <f>IFERROR(IF(FIND("3",$D3),J$1,""),"")</f>
        <v/>
      </c>
      <c r="K3" s="4" t="str">
        <f>IFERROR(IF(FIND("4",$D3),K$1,""),"")</f>
        <v/>
      </c>
      <c r="L3" s="4" t="str">
        <f>IFERROR(IF(FIND("5",$D3),L$1,""),"")</f>
        <v/>
      </c>
      <c r="M3" s="4" t="e">
        <f t="array" aca="1" ref="M3" ca="1">_xludf.CONCAT("every ",_xludf.TEXTJOIN(", ", TRUE, IF(H3:L3&lt;&gt;"", H3:L3, "")))</f>
        <v>#NAME?</v>
      </c>
    </row>
    <row r="4" spans="1:26" x14ac:dyDescent="0.25">
      <c r="A4" s="2" t="s">
        <v>12</v>
      </c>
      <c r="B4" s="2">
        <v>100</v>
      </c>
      <c r="C4" s="5" t="s">
        <v>25</v>
      </c>
      <c r="D4" s="3">
        <v>2</v>
      </c>
      <c r="E4" s="2" t="s">
        <v>42</v>
      </c>
      <c r="F4" s="4" t="str">
        <f t="array" ref="F4">INDEX(Tasks!$B:$B, MATCH(C4, Tasks!$A:$A, 0))</f>
        <v>Spray with 2in1, wipe with Paper Towel.</v>
      </c>
      <c r="G4" s="4" t="e">
        <f t="array" aca="1" ref="G4" ca="1">_xludf.LET(
  _xlpm.task,$C4,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4" s="4" t="str">
        <f>IFERROR(IF(FIND("1",$D4),H$1,""),"")</f>
        <v/>
      </c>
      <c r="I4" s="4" t="str">
        <f>IFERROR(IF(FIND("2",$D4),I$1,""),"")</f>
        <v>Tue</v>
      </c>
      <c r="J4" s="4" t="str">
        <f>IFERROR(IF(FIND("3",$D4),J$1,""),"")</f>
        <v/>
      </c>
      <c r="K4" s="4" t="str">
        <f>IFERROR(IF(FIND("4",$D4),K$1,""),"")</f>
        <v/>
      </c>
      <c r="L4" s="4" t="str">
        <f>IFERROR(IF(FIND("5",$D4),L$1,""),"")</f>
        <v/>
      </c>
      <c r="M4" s="4" t="e">
        <f t="array" aca="1" ref="M4" ca="1">_xludf.CONCAT("every ",_xludf.TEXTJOIN(", ", TRUE, IF(H4:L4&lt;&gt;"", H4:L4, "")))</f>
        <v>#NAME?</v>
      </c>
    </row>
    <row r="5" spans="1:26" x14ac:dyDescent="0.25">
      <c r="A5" s="2" t="s">
        <v>12</v>
      </c>
      <c r="B5" s="2">
        <v>101</v>
      </c>
      <c r="C5" s="5" t="s">
        <v>36</v>
      </c>
      <c r="D5" s="3">
        <v>2</v>
      </c>
      <c r="E5" s="2" t="s">
        <v>42</v>
      </c>
      <c r="F5" s="4" t="str">
        <f t="array" ref="F5">INDEX(Tasks!$B:$B, MATCH(C5, Tasks!$A:$A, 0))</f>
        <v>Empty trash being careful of leaking bags.</v>
      </c>
      <c r="G5" s="4" t="e">
        <f t="array" aca="1" ref="G5" ca="1">_xludf.LET(
  _xlpm.task,$C5,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5" s="4" t="str">
        <f>IFERROR(IF(FIND("1",$D5),H$1,""),"")</f>
        <v/>
      </c>
      <c r="I5" s="4" t="str">
        <f>IFERROR(IF(FIND("2",$D5),I$1,""),"")</f>
        <v>Tue</v>
      </c>
      <c r="J5" s="4" t="str">
        <f>IFERROR(IF(FIND("3",$D5),J$1,""),"")</f>
        <v/>
      </c>
      <c r="K5" s="4" t="str">
        <f>IFERROR(IF(FIND("4",$D5),K$1,""),"")</f>
        <v/>
      </c>
      <c r="L5" s="4" t="str">
        <f>IFERROR(IF(FIND("5",$D5),L$1,""),"")</f>
        <v/>
      </c>
      <c r="M5" s="4" t="e">
        <f t="array" aca="1" ref="M5" ca="1">_xludf.CONCAT("every ",_xludf.TEXTJOIN(", ", TRUE, IF(H5:L5&lt;&gt;"", H5:L5, "")))</f>
        <v>#NAME?</v>
      </c>
    </row>
    <row r="6" spans="1:26" x14ac:dyDescent="0.25">
      <c r="A6" s="2" t="s">
        <v>12</v>
      </c>
      <c r="B6" s="2">
        <v>101</v>
      </c>
      <c r="C6" s="2" t="s">
        <v>13</v>
      </c>
      <c r="D6" s="3">
        <v>1</v>
      </c>
      <c r="E6" s="2" t="s">
        <v>42</v>
      </c>
      <c r="F6" s="4" t="str">
        <f t="array" ref="F6">INDEX(Tasks!$B:$B, MATCH(C6, Tasks!$A:$A, 0))</f>
        <v>Use Backpack Vacuum.</v>
      </c>
      <c r="G6" s="4" t="e">
        <f t="array" aca="1" ref="G6" ca="1">_xludf.LET(
  _xlpm.task,$C6,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6" s="4" t="str">
        <f>IFERROR(IF(FIND("1",$D6),H$1,""),"")</f>
        <v>Mon</v>
      </c>
      <c r="I6" s="4" t="str">
        <f>IFERROR(IF(FIND("2",$D6),I$1,""),"")</f>
        <v/>
      </c>
      <c r="J6" s="4" t="str">
        <f>IFERROR(IF(FIND("3",$D6),J$1,""),"")</f>
        <v/>
      </c>
      <c r="K6" s="4" t="str">
        <f>IFERROR(IF(FIND("4",$D6),K$1,""),"")</f>
        <v/>
      </c>
      <c r="L6" s="4" t="str">
        <f>IFERROR(IF(FIND("5",$D6),L$1,""),"")</f>
        <v/>
      </c>
      <c r="M6" s="4" t="e">
        <f t="array" aca="1" ref="M6" ca="1">_xludf.CONCAT("every ",_xludf.TEXTJOIN(", ", TRUE, IF(H6:L6&lt;&gt;"", H6:L6, "")))</f>
        <v>#NAME?</v>
      </c>
    </row>
    <row r="7" spans="1:26" x14ac:dyDescent="0.25">
      <c r="A7" s="2" t="s">
        <v>12</v>
      </c>
      <c r="B7" s="2">
        <v>101</v>
      </c>
      <c r="C7" s="5" t="s">
        <v>45</v>
      </c>
      <c r="D7" s="3">
        <v>2</v>
      </c>
      <c r="E7" s="2" t="s">
        <v>42</v>
      </c>
      <c r="F7" s="4" t="str">
        <f t="array" ref="F7">INDEX(Tasks!$B:$B, MATCH(C7, Tasks!$A:$A, 0))</f>
        <v>Spray with 2in1, wipe with Paper Towel.</v>
      </c>
      <c r="G7" s="4" t="e">
        <f t="array" aca="1" ref="G7" ca="1">_xludf.LET(
  _xlpm.task,$C7,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7" s="4" t="str">
        <f>IFERROR(IF(FIND("1",$D7),H$1,""),"")</f>
        <v/>
      </c>
      <c r="I7" s="4" t="str">
        <f>IFERROR(IF(FIND("2",$D7),I$1,""),"")</f>
        <v>Tue</v>
      </c>
      <c r="J7" s="4" t="str">
        <f>IFERROR(IF(FIND("3",$D7),J$1,""),"")</f>
        <v/>
      </c>
      <c r="K7" s="4" t="str">
        <f>IFERROR(IF(FIND("4",$D7),K$1,""),"")</f>
        <v/>
      </c>
      <c r="L7" s="4" t="str">
        <f>IFERROR(IF(FIND("5",$D7),L$1,""),"")</f>
        <v/>
      </c>
      <c r="M7" s="4" t="e">
        <f t="array" aca="1" ref="M7" ca="1">_xludf.CONCAT("every ",_xludf.TEXTJOIN(", ", TRUE, IF(H7:L7&lt;&gt;"", H7:L7, "")))</f>
        <v>#NAME?</v>
      </c>
    </row>
    <row r="8" spans="1:26" x14ac:dyDescent="0.25">
      <c r="A8" s="2" t="s">
        <v>12</v>
      </c>
      <c r="B8" s="2">
        <v>101</v>
      </c>
      <c r="C8" s="5" t="s">
        <v>25</v>
      </c>
      <c r="D8" s="3">
        <v>2</v>
      </c>
      <c r="E8" s="2" t="s">
        <v>42</v>
      </c>
      <c r="F8" s="4" t="str">
        <f t="array" ref="F8">INDEX(Tasks!$B:$B, MATCH(C8, Tasks!$A:$A, 0))</f>
        <v>Spray with 2in1, wipe with Paper Towel.</v>
      </c>
      <c r="G8" s="4" t="e">
        <f t="array" aca="1" ref="G8" ca="1">_xludf.LET(
  _xlpm.task,$C8,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8" s="4" t="str">
        <f>IFERROR(IF(FIND("1",$D8),H$1,""),"")</f>
        <v/>
      </c>
      <c r="I8" s="4" t="str">
        <f>IFERROR(IF(FIND("2",$D8),I$1,""),"")</f>
        <v>Tue</v>
      </c>
      <c r="J8" s="4" t="str">
        <f>IFERROR(IF(FIND("3",$D8),J$1,""),"")</f>
        <v/>
      </c>
      <c r="K8" s="4" t="str">
        <f>IFERROR(IF(FIND("4",$D8),K$1,""),"")</f>
        <v/>
      </c>
      <c r="L8" s="4" t="str">
        <f>IFERROR(IF(FIND("5",$D8),L$1,""),"")</f>
        <v/>
      </c>
      <c r="M8" s="4" t="e">
        <f t="array" aca="1" ref="M8" ca="1">_xludf.CONCAT("every ",_xludf.TEXTJOIN(", ", TRUE, IF(H8:L8&lt;&gt;"", H8:L8, "")))</f>
        <v>#NAME?</v>
      </c>
    </row>
    <row r="9" spans="1:26" x14ac:dyDescent="0.25">
      <c r="A9" s="2" t="s">
        <v>12</v>
      </c>
      <c r="B9" s="2">
        <v>102</v>
      </c>
      <c r="C9" s="5" t="s">
        <v>36</v>
      </c>
      <c r="D9" s="3">
        <v>4</v>
      </c>
      <c r="E9" s="2" t="s">
        <v>42</v>
      </c>
      <c r="F9" s="4" t="str">
        <f t="array" ref="F9">INDEX(Tasks!$B:$B, MATCH(C9, Tasks!$A:$A, 0))</f>
        <v>Empty trash being careful of leaking bags.</v>
      </c>
      <c r="G9" s="4" t="e">
        <f t="array" aca="1" ref="G9" ca="1">_xludf.LET(
  _xlpm.task,$C9,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9" s="4" t="str">
        <f>IFERROR(IF(FIND("1",$D9),H$1,""),"")</f>
        <v/>
      </c>
      <c r="I9" s="4" t="str">
        <f>IFERROR(IF(FIND("2",$D9),I$1,""),"")</f>
        <v/>
      </c>
      <c r="J9" s="4" t="str">
        <f>IFERROR(IF(FIND("3",$D9),J$1,""),"")</f>
        <v/>
      </c>
      <c r="K9" s="4" t="str">
        <f>IFERROR(IF(FIND("4",$D9),K$1,""),"")</f>
        <v>Thu</v>
      </c>
      <c r="L9" s="4" t="str">
        <f>IFERROR(IF(FIND("5",$D9),L$1,""),"")</f>
        <v/>
      </c>
      <c r="M9" s="4" t="e">
        <f t="array" aca="1" ref="M9" ca="1">_xludf.CONCAT("every ",_xludf.TEXTJOIN(", ", TRUE, IF(H9:L9&lt;&gt;"", H9:L9, "")))</f>
        <v>#NAME?</v>
      </c>
    </row>
    <row r="10" spans="1:26" x14ac:dyDescent="0.25">
      <c r="A10" s="2" t="s">
        <v>12</v>
      </c>
      <c r="B10" s="2">
        <v>102</v>
      </c>
      <c r="C10" s="2" t="s">
        <v>13</v>
      </c>
      <c r="D10" s="3">
        <v>1</v>
      </c>
      <c r="E10" s="2" t="s">
        <v>42</v>
      </c>
      <c r="F10" s="4" t="str">
        <f t="array" ref="F10">INDEX(Tasks!$B:$B, MATCH(C10, Tasks!$A:$A, 0))</f>
        <v>Use Backpack Vacuum.</v>
      </c>
      <c r="G10" s="4" t="e">
        <f t="array" aca="1" ref="G10" ca="1">_xludf.LET(
  _xlpm.task,$C10,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0" s="4" t="str">
        <f>IFERROR(IF(FIND("1",$D10),H$1,""),"")</f>
        <v>Mon</v>
      </c>
      <c r="I10" s="4" t="str">
        <f>IFERROR(IF(FIND("2",$D10),I$1,""),"")</f>
        <v/>
      </c>
      <c r="J10" s="4" t="str">
        <f>IFERROR(IF(FIND("3",$D10),J$1,""),"")</f>
        <v/>
      </c>
      <c r="K10" s="4" t="str">
        <f>IFERROR(IF(FIND("4",$D10),K$1,""),"")</f>
        <v/>
      </c>
      <c r="L10" s="4" t="str">
        <f>IFERROR(IF(FIND("5",$D10),L$1,""),"")</f>
        <v/>
      </c>
      <c r="M10" s="4" t="e">
        <f t="array" aca="1" ref="M10" ca="1">_xludf.CONCAT("every ",_xludf.TEXTJOIN(", ", TRUE, IF(H10:L10&lt;&gt;"", H10:L10, "")))</f>
        <v>#NAME?</v>
      </c>
    </row>
    <row r="11" spans="1:26" x14ac:dyDescent="0.25">
      <c r="A11" s="2" t="s">
        <v>12</v>
      </c>
      <c r="B11" s="2">
        <v>102</v>
      </c>
      <c r="C11" s="5" t="s">
        <v>45</v>
      </c>
      <c r="D11" s="3">
        <v>2</v>
      </c>
      <c r="E11" s="2" t="s">
        <v>42</v>
      </c>
      <c r="F11" s="4" t="str">
        <f t="array" ref="F11">INDEX(Tasks!$B:$B, MATCH(C11, Tasks!$A:$A, 0))</f>
        <v>Spray with 2in1, wipe with Paper Towel.</v>
      </c>
      <c r="G11" s="4" t="e">
        <f t="array" aca="1" ref="G11" ca="1">_xludf.LET(
  _xlpm.task,$C11,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1" s="4" t="str">
        <f>IFERROR(IF(FIND("1",$D11),H$1,""),"")</f>
        <v/>
      </c>
      <c r="I11" s="4" t="str">
        <f>IFERROR(IF(FIND("2",$D11),I$1,""),"")</f>
        <v>Tue</v>
      </c>
      <c r="J11" s="4" t="str">
        <f>IFERROR(IF(FIND("3",$D11),J$1,""),"")</f>
        <v/>
      </c>
      <c r="K11" s="4" t="str">
        <f>IFERROR(IF(FIND("4",$D11),K$1,""),"")</f>
        <v/>
      </c>
      <c r="L11" s="4" t="str">
        <f>IFERROR(IF(FIND("5",$D11),L$1,""),"")</f>
        <v/>
      </c>
      <c r="M11" s="4" t="e">
        <f t="array" aca="1" ref="M11" ca="1">_xludf.CONCAT("every ",_xludf.TEXTJOIN(", ", TRUE, IF(H11:L11&lt;&gt;"", H11:L11, "")))</f>
        <v>#NAME?</v>
      </c>
    </row>
    <row r="12" spans="1:26" x14ac:dyDescent="0.25">
      <c r="A12" s="2" t="s">
        <v>12</v>
      </c>
      <c r="B12" s="2">
        <v>102</v>
      </c>
      <c r="C12" s="5" t="s">
        <v>18</v>
      </c>
      <c r="D12" s="3">
        <v>2</v>
      </c>
      <c r="E12" s="2" t="s">
        <v>42</v>
      </c>
      <c r="F12" s="4" t="str">
        <f t="array" ref="F12">INDEX(Tasks!$B:$B, MATCH(C12, Tasks!$A:$A, 0))</f>
        <v>Spray with 2in1, wipe with Paper Towel.</v>
      </c>
      <c r="G12" s="4" t="e">
        <f t="array" aca="1" ref="G12" ca="1">_xludf.LET(
  _xlpm.task,$C12,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2" s="4" t="str">
        <f>IFERROR(IF(FIND("1",$D12),H$1,""),"")</f>
        <v/>
      </c>
      <c r="I12" s="4" t="str">
        <f>IFERROR(IF(FIND("2",$D12),I$1,""),"")</f>
        <v>Tue</v>
      </c>
      <c r="J12" s="4" t="str">
        <f>IFERROR(IF(FIND("3",$D12),J$1,""),"")</f>
        <v/>
      </c>
      <c r="K12" s="4" t="str">
        <f>IFERROR(IF(FIND("4",$D12),K$1,""),"")</f>
        <v/>
      </c>
      <c r="L12" s="4" t="str">
        <f>IFERROR(IF(FIND("5",$D12),L$1,""),"")</f>
        <v/>
      </c>
      <c r="M12" s="4" t="e">
        <f t="array" aca="1" ref="M12" ca="1">_xludf.CONCAT("every ",_xludf.TEXTJOIN(", ", TRUE, IF(H12:L12&lt;&gt;"", H12:L12, "")))</f>
        <v>#NAME?</v>
      </c>
    </row>
    <row r="13" spans="1:26" x14ac:dyDescent="0.25">
      <c r="A13" s="2" t="s">
        <v>12</v>
      </c>
      <c r="B13" s="2">
        <v>102</v>
      </c>
      <c r="C13" s="5" t="s">
        <v>25</v>
      </c>
      <c r="D13" s="3">
        <v>2</v>
      </c>
      <c r="E13" s="2" t="s">
        <v>42</v>
      </c>
      <c r="F13" s="4" t="str">
        <f t="array" ref="F13">INDEX(Tasks!$B:$B, MATCH(C13, Tasks!$A:$A, 0))</f>
        <v>Spray with 2in1, wipe with Paper Towel.</v>
      </c>
      <c r="G13" s="4" t="e">
        <f t="array" aca="1" ref="G13" ca="1">_xludf.LET(
  _xlpm.task,$C13,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3" s="4" t="str">
        <f>IFERROR(IF(FIND("1",$D13),H$1,""),"")</f>
        <v/>
      </c>
      <c r="I13" s="4" t="str">
        <f>IFERROR(IF(FIND("2",$D13),I$1,""),"")</f>
        <v>Tue</v>
      </c>
      <c r="J13" s="4" t="str">
        <f>IFERROR(IF(FIND("3",$D13),J$1,""),"")</f>
        <v/>
      </c>
      <c r="K13" s="4" t="str">
        <f>IFERROR(IF(FIND("4",$D13),K$1,""),"")</f>
        <v/>
      </c>
      <c r="L13" s="4" t="str">
        <f>IFERROR(IF(FIND("5",$D13),L$1,""),"")</f>
        <v/>
      </c>
      <c r="M13" s="4" t="e">
        <f t="array" aca="1" ref="M13" ca="1">_xludf.CONCAT("every ",_xludf.TEXTJOIN(", ", TRUE, IF(H13:L13&lt;&gt;"", H13:L13, "")))</f>
        <v>#NAME?</v>
      </c>
    </row>
    <row r="14" spans="1:26" x14ac:dyDescent="0.25">
      <c r="A14" s="2" t="s">
        <v>12</v>
      </c>
      <c r="B14" s="2">
        <v>103</v>
      </c>
      <c r="C14" s="5" t="s">
        <v>36</v>
      </c>
      <c r="D14" s="3">
        <v>4</v>
      </c>
      <c r="E14" s="2" t="s">
        <v>42</v>
      </c>
      <c r="F14" s="4" t="str">
        <f t="array" ref="F14">INDEX(Tasks!$B:$B, MATCH(C14, Tasks!$A:$A, 0))</f>
        <v>Empty trash being careful of leaking bags.</v>
      </c>
      <c r="G14" s="4" t="e">
        <f t="array" aca="1" ref="G14" ca="1">_xludf.LET(
  _xlpm.task,$C14,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4" s="4" t="str">
        <f>IFERROR(IF(FIND("1",$D14),H$1,""),"")</f>
        <v/>
      </c>
      <c r="I14" s="4" t="str">
        <f>IFERROR(IF(FIND("2",$D14),I$1,""),"")</f>
        <v/>
      </c>
      <c r="J14" s="4" t="str">
        <f>IFERROR(IF(FIND("3",$D14),J$1,""),"")</f>
        <v/>
      </c>
      <c r="K14" s="4" t="str">
        <f>IFERROR(IF(FIND("4",$D14),K$1,""),"")</f>
        <v>Thu</v>
      </c>
      <c r="L14" s="4" t="str">
        <f>IFERROR(IF(FIND("5",$D14),L$1,""),"")</f>
        <v/>
      </c>
      <c r="M14" s="4" t="e">
        <f t="array" aca="1" ref="M14" ca="1">_xludf.CONCAT("every ",_xludf.TEXTJOIN(", ", TRUE, IF(H14:L14&lt;&gt;"", H14:L14, "")))</f>
        <v>#NAME?</v>
      </c>
    </row>
    <row r="15" spans="1:26" x14ac:dyDescent="0.25">
      <c r="A15" s="2" t="s">
        <v>12</v>
      </c>
      <c r="B15" s="2">
        <v>103</v>
      </c>
      <c r="C15" s="2" t="s">
        <v>13</v>
      </c>
      <c r="D15" s="3">
        <v>1</v>
      </c>
      <c r="E15" s="2" t="s">
        <v>42</v>
      </c>
      <c r="F15" s="4" t="str">
        <f t="array" ref="F15">INDEX(Tasks!$B:$B, MATCH(C15, Tasks!$A:$A, 0))</f>
        <v>Use Backpack Vacuum.</v>
      </c>
      <c r="G15" s="4" t="e">
        <f t="array" aca="1" ref="G15" ca="1">_xludf.LET(
  _xlpm.task,$C15,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5" s="4" t="str">
        <f>IFERROR(IF(FIND("1",$D15),H$1,""),"")</f>
        <v>Mon</v>
      </c>
      <c r="I15" s="4" t="str">
        <f>IFERROR(IF(FIND("2",$D15),I$1,""),"")</f>
        <v/>
      </c>
      <c r="J15" s="4" t="str">
        <f>IFERROR(IF(FIND("3",$D15),J$1,""),"")</f>
        <v/>
      </c>
      <c r="K15" s="4" t="str">
        <f>IFERROR(IF(FIND("4",$D15),K$1,""),"")</f>
        <v/>
      </c>
      <c r="L15" s="4" t="str">
        <f>IFERROR(IF(FIND("5",$D15),L$1,""),"")</f>
        <v/>
      </c>
      <c r="M15" s="4" t="e">
        <f t="array" aca="1" ref="M15" ca="1">_xludf.CONCAT("every ",_xludf.TEXTJOIN(", ", TRUE, IF(H15:L15&lt;&gt;"", H15:L15, "")))</f>
        <v>#NAME?</v>
      </c>
    </row>
    <row r="16" spans="1:26" x14ac:dyDescent="0.25">
      <c r="A16" s="2" t="s">
        <v>12</v>
      </c>
      <c r="B16" s="2">
        <v>103</v>
      </c>
      <c r="C16" s="5" t="s">
        <v>45</v>
      </c>
      <c r="D16" s="3">
        <v>2</v>
      </c>
      <c r="E16" s="2" t="s">
        <v>42</v>
      </c>
      <c r="F16" s="4" t="str">
        <f t="array" ref="F16">INDEX(Tasks!$B:$B, MATCH(C16, Tasks!$A:$A, 0))</f>
        <v>Spray with 2in1, wipe with Paper Towel.</v>
      </c>
      <c r="G16" s="4" t="e">
        <f t="array" aca="1" ref="G16" ca="1">_xludf.LET(
  _xlpm.task,$C16,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6" s="4" t="str">
        <f>IFERROR(IF(FIND("1",$D16),H$1,""),"")</f>
        <v/>
      </c>
      <c r="I16" s="4" t="str">
        <f>IFERROR(IF(FIND("2",$D16),I$1,""),"")</f>
        <v>Tue</v>
      </c>
      <c r="J16" s="4" t="str">
        <f>IFERROR(IF(FIND("3",$D16),J$1,""),"")</f>
        <v/>
      </c>
      <c r="K16" s="4" t="str">
        <f>IFERROR(IF(FIND("4",$D16),K$1,""),"")</f>
        <v/>
      </c>
      <c r="L16" s="4" t="str">
        <f>IFERROR(IF(FIND("5",$D16),L$1,""),"")</f>
        <v/>
      </c>
      <c r="M16" s="4" t="e">
        <f t="array" aca="1" ref="M16" ca="1">_xludf.CONCAT("every ",_xludf.TEXTJOIN(", ", TRUE, IF(H16:L16&lt;&gt;"", H16:L16, "")))</f>
        <v>#NAME?</v>
      </c>
    </row>
    <row r="17" spans="1:13" x14ac:dyDescent="0.25">
      <c r="A17" s="2" t="s">
        <v>12</v>
      </c>
      <c r="B17" s="2">
        <v>103</v>
      </c>
      <c r="C17" s="5" t="s">
        <v>18</v>
      </c>
      <c r="D17" s="3">
        <v>2</v>
      </c>
      <c r="E17" s="2" t="s">
        <v>42</v>
      </c>
      <c r="F17" s="4" t="str">
        <f t="array" ref="F17">INDEX(Tasks!$B:$B, MATCH(C17, Tasks!$A:$A, 0))</f>
        <v>Spray with 2in1, wipe with Paper Towel.</v>
      </c>
      <c r="G17" s="4" t="e">
        <f t="array" aca="1" ref="G17" ca="1">_xludf.LET(
  _xlpm.task,$C17,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7" s="4" t="str">
        <f>IFERROR(IF(FIND("1",$D17),H$1,""),"")</f>
        <v/>
      </c>
      <c r="I17" s="4" t="str">
        <f>IFERROR(IF(FIND("2",$D17),I$1,""),"")</f>
        <v>Tue</v>
      </c>
      <c r="J17" s="4" t="str">
        <f>IFERROR(IF(FIND("3",$D17),J$1,""),"")</f>
        <v/>
      </c>
      <c r="K17" s="4" t="str">
        <f>IFERROR(IF(FIND("4",$D17),K$1,""),"")</f>
        <v/>
      </c>
      <c r="L17" s="4" t="str">
        <f>IFERROR(IF(FIND("5",$D17),L$1,""),"")</f>
        <v/>
      </c>
      <c r="M17" s="4" t="e">
        <f t="array" aca="1" ref="M17" ca="1">_xludf.CONCAT("every ",_xludf.TEXTJOIN(", ", TRUE, IF(H17:L17&lt;&gt;"", H17:L17, "")))</f>
        <v>#NAME?</v>
      </c>
    </row>
    <row r="18" spans="1:13" x14ac:dyDescent="0.25">
      <c r="A18" s="2" t="s">
        <v>12</v>
      </c>
      <c r="B18" s="2">
        <v>103</v>
      </c>
      <c r="C18" s="5" t="s">
        <v>25</v>
      </c>
      <c r="D18" s="3">
        <v>2</v>
      </c>
      <c r="E18" s="2" t="s">
        <v>42</v>
      </c>
      <c r="F18" s="4" t="str">
        <f t="array" ref="F18">INDEX(Tasks!$B:$B, MATCH(C18, Tasks!$A:$A, 0))</f>
        <v>Spray with 2in1, wipe with Paper Towel.</v>
      </c>
      <c r="G18" s="4" t="e">
        <f t="array" aca="1" ref="G18" ca="1">_xludf.LET(
  _xlpm.task,$C18,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8" s="4" t="str">
        <f>IFERROR(IF(FIND("1",$D18),H$1,""),"")</f>
        <v/>
      </c>
      <c r="I18" s="4" t="str">
        <f>IFERROR(IF(FIND("2",$D18),I$1,""),"")</f>
        <v>Tue</v>
      </c>
      <c r="J18" s="4" t="str">
        <f>IFERROR(IF(FIND("3",$D18),J$1,""),"")</f>
        <v/>
      </c>
      <c r="K18" s="4" t="str">
        <f>IFERROR(IF(FIND("4",$D18),K$1,""),"")</f>
        <v/>
      </c>
      <c r="L18" s="4" t="str">
        <f>IFERROR(IF(FIND("5",$D18),L$1,""),"")</f>
        <v/>
      </c>
      <c r="M18" s="4" t="e">
        <f t="array" aca="1" ref="M18" ca="1">_xludf.CONCAT("every ",_xludf.TEXTJOIN(", ", TRUE, IF(H18:L18&lt;&gt;"", H18:L18, "")))</f>
        <v>#NAME?</v>
      </c>
    </row>
    <row r="19" spans="1:13" x14ac:dyDescent="0.25">
      <c r="A19" s="2" t="s">
        <v>23</v>
      </c>
      <c r="B19" s="2">
        <v>201</v>
      </c>
      <c r="C19" s="5" t="s">
        <v>36</v>
      </c>
      <c r="D19" s="3">
        <v>2</v>
      </c>
      <c r="E19" s="2" t="s">
        <v>42</v>
      </c>
      <c r="F19" s="4" t="str">
        <f t="array" ref="F19">INDEX(Tasks!$B:$B, MATCH(C19, Tasks!$A:$A, 0))</f>
        <v>Empty trash being careful of leaking bags.</v>
      </c>
      <c r="G19" s="4" t="e">
        <f t="array" aca="1" ref="G19" ca="1">_xludf.LET(
  _xlpm.task,$C19,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9" s="4" t="str">
        <f>IFERROR(IF(FIND("1",$D19),H$1,""),"")</f>
        <v/>
      </c>
      <c r="I19" s="4" t="str">
        <f>IFERROR(IF(FIND("2",$D19),I$1,""),"")</f>
        <v>Tue</v>
      </c>
      <c r="J19" s="4" t="str">
        <f>IFERROR(IF(FIND("3",$D19),J$1,""),"")</f>
        <v/>
      </c>
      <c r="K19" s="4" t="str">
        <f>IFERROR(IF(FIND("4",$D19),K$1,""),"")</f>
        <v/>
      </c>
      <c r="L19" s="4" t="str">
        <f>IFERROR(IF(FIND("5",$D19),L$1,""),"")</f>
        <v/>
      </c>
      <c r="M19" s="4" t="e">
        <f t="array" aca="1" ref="M19" ca="1">_xludf.CONCAT("every ",_xludf.TEXTJOIN(", ", TRUE, IF(H19:L19&lt;&gt;"", H19:L19, "")))</f>
        <v>#NAME?</v>
      </c>
    </row>
    <row r="20" spans="1:13" x14ac:dyDescent="0.25">
      <c r="A20" s="2" t="s">
        <v>12</v>
      </c>
      <c r="B20" s="2">
        <v>201</v>
      </c>
      <c r="C20" s="5" t="s">
        <v>36</v>
      </c>
      <c r="D20" s="3">
        <v>4</v>
      </c>
      <c r="E20" s="2" t="s">
        <v>42</v>
      </c>
      <c r="F20" s="4" t="str">
        <f t="array" ref="F20">INDEX(Tasks!$B:$B, MATCH(C20, Tasks!$A:$A, 0))</f>
        <v>Empty trash being careful of leaking bags.</v>
      </c>
      <c r="G20" s="4" t="e">
        <f t="array" aca="1" ref="G20" ca="1">_xludf.LET(
  _xlpm.task,$C20,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0" s="4" t="str">
        <f>IFERROR(IF(FIND("1",$D20),H$1,""),"")</f>
        <v/>
      </c>
      <c r="I20" s="4" t="str">
        <f>IFERROR(IF(FIND("2",$D20),I$1,""),"")</f>
        <v/>
      </c>
      <c r="J20" s="4" t="str">
        <f>IFERROR(IF(FIND("3",$D20),J$1,""),"")</f>
        <v/>
      </c>
      <c r="K20" s="4" t="str">
        <f>IFERROR(IF(FIND("4",$D20),K$1,""),"")</f>
        <v>Thu</v>
      </c>
      <c r="L20" s="4" t="str">
        <f>IFERROR(IF(FIND("5",$D20),L$1,""),"")</f>
        <v/>
      </c>
      <c r="M20" s="4" t="e">
        <f t="array" aca="1" ref="M20" ca="1">_xludf.CONCAT("every ",_xludf.TEXTJOIN(", ", TRUE, IF(H20:L20&lt;&gt;"", H20:L20, "")))</f>
        <v>#NAME?</v>
      </c>
    </row>
    <row r="21" spans="1:13" ht="15.75" customHeight="1" x14ac:dyDescent="0.25">
      <c r="A21" s="2" t="s">
        <v>23</v>
      </c>
      <c r="B21" s="2">
        <v>201</v>
      </c>
      <c r="C21" s="2" t="s">
        <v>13</v>
      </c>
      <c r="D21" s="3">
        <v>2</v>
      </c>
      <c r="E21" s="3" t="s">
        <v>42</v>
      </c>
      <c r="F21" s="4" t="str">
        <f t="array" ref="F21">INDEX(Tasks!$B:$B, MATCH(C21, Tasks!$A:$A, 0))</f>
        <v>Use Backpack Vacuum.</v>
      </c>
      <c r="G21" s="4" t="e">
        <f t="array" aca="1" ref="G21" ca="1">_xludf.LET(
  _xlpm.task,$C21,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1" s="4" t="str">
        <f>IFERROR(IF(FIND("1",$D21),H$1,""),"")</f>
        <v/>
      </c>
      <c r="I21" s="4" t="str">
        <f>IFERROR(IF(FIND("2",$D21),I$1,""),"")</f>
        <v>Tue</v>
      </c>
      <c r="J21" s="4" t="str">
        <f>IFERROR(IF(FIND("3",$D21),J$1,""),"")</f>
        <v/>
      </c>
      <c r="K21" s="4" t="str">
        <f>IFERROR(IF(FIND("4",$D21),K$1,""),"")</f>
        <v/>
      </c>
      <c r="L21" s="4" t="str">
        <f>IFERROR(IF(FIND("5",$D21),L$1,""),"")</f>
        <v/>
      </c>
      <c r="M21" s="4" t="e">
        <f t="array" aca="1" ref="M21" ca="1">_xludf.CONCAT("every ",_xludf.TEXTJOIN(", ", TRUE, IF(H21:L21&lt;&gt;"", H21:L21, "")))</f>
        <v>#NAME?</v>
      </c>
    </row>
    <row r="22" spans="1:13" ht="15.75" customHeight="1" x14ac:dyDescent="0.25">
      <c r="A22" s="2" t="s">
        <v>12</v>
      </c>
      <c r="B22" s="2">
        <v>201</v>
      </c>
      <c r="C22" s="2" t="s">
        <v>13</v>
      </c>
      <c r="D22" s="3">
        <v>1</v>
      </c>
      <c r="E22" s="2" t="s">
        <v>42</v>
      </c>
      <c r="F22" s="4" t="str">
        <f t="array" ref="F22">INDEX(Tasks!$B:$B, MATCH(C22, Tasks!$A:$A, 0))</f>
        <v>Use Backpack Vacuum.</v>
      </c>
      <c r="G22" s="4" t="e">
        <f t="array" aca="1" ref="G22" ca="1">_xludf.LET(
  _xlpm.task,$C22,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2" s="4" t="str">
        <f>IFERROR(IF(FIND("1",$D22),H$1,""),"")</f>
        <v>Mon</v>
      </c>
      <c r="I22" s="4" t="str">
        <f>IFERROR(IF(FIND("2",$D22),I$1,""),"")</f>
        <v/>
      </c>
      <c r="J22" s="4" t="str">
        <f>IFERROR(IF(FIND("3",$D22),J$1,""),"")</f>
        <v/>
      </c>
      <c r="K22" s="4" t="str">
        <f>IFERROR(IF(FIND("4",$D22),K$1,""),"")</f>
        <v/>
      </c>
      <c r="L22" s="4" t="str">
        <f>IFERROR(IF(FIND("5",$D22),L$1,""),"")</f>
        <v/>
      </c>
      <c r="M22" s="4" t="e">
        <f t="array" aca="1" ref="M22" ca="1">_xludf.CONCAT("every ",_xludf.TEXTJOIN(", ", TRUE, IF(H22:L22&lt;&gt;"", H22:L22, "")))</f>
        <v>#NAME?</v>
      </c>
    </row>
    <row r="23" spans="1:13" ht="15.75" customHeight="1" x14ac:dyDescent="0.25">
      <c r="A23" s="2" t="s">
        <v>23</v>
      </c>
      <c r="B23" s="2">
        <v>201</v>
      </c>
      <c r="C23" s="5" t="s">
        <v>25</v>
      </c>
      <c r="D23" s="3">
        <v>2</v>
      </c>
      <c r="E23" s="2" t="s">
        <v>42</v>
      </c>
      <c r="F23" s="4" t="str">
        <f t="array" ref="F23">INDEX(Tasks!$B:$B, MATCH(C23, Tasks!$A:$A, 0))</f>
        <v>Spray with 2in1, wipe with Paper Towel.</v>
      </c>
      <c r="G23" s="4" t="e">
        <f t="array" aca="1" ref="G23" ca="1">_xludf.LET(
  _xlpm.task,$C23,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3" s="4" t="str">
        <f>IFERROR(IF(FIND("1",$D23),H$1,""),"")</f>
        <v/>
      </c>
      <c r="I23" s="4" t="str">
        <f>IFERROR(IF(FIND("2",$D23),I$1,""),"")</f>
        <v>Tue</v>
      </c>
      <c r="J23" s="4" t="str">
        <f>IFERROR(IF(FIND("3",$D23),J$1,""),"")</f>
        <v/>
      </c>
      <c r="K23" s="4" t="str">
        <f>IFERROR(IF(FIND("4",$D23),K$1,""),"")</f>
        <v/>
      </c>
      <c r="L23" s="4" t="str">
        <f>IFERROR(IF(FIND("5",$D23),L$1,""),"")</f>
        <v/>
      </c>
      <c r="M23" s="4" t="e">
        <f t="array" aca="1" ref="M23" ca="1">_xludf.CONCAT("every ",_xludf.TEXTJOIN(", ", TRUE, IF(H23:L23&lt;&gt;"", H23:L23, "")))</f>
        <v>#NAME?</v>
      </c>
    </row>
    <row r="24" spans="1:13" ht="15.75" customHeight="1" x14ac:dyDescent="0.25">
      <c r="A24" s="2" t="s">
        <v>12</v>
      </c>
      <c r="B24" s="2">
        <v>201</v>
      </c>
      <c r="C24" s="5" t="s">
        <v>25</v>
      </c>
      <c r="D24" s="3">
        <v>3</v>
      </c>
      <c r="E24" s="2" t="s">
        <v>42</v>
      </c>
      <c r="F24" s="4" t="str">
        <f t="array" ref="F24">INDEX(Tasks!$B:$B, MATCH(C24, Tasks!$A:$A, 0))</f>
        <v>Spray with 2in1, wipe with Paper Towel.</v>
      </c>
      <c r="G24" s="4" t="e">
        <f t="array" aca="1" ref="G24" ca="1">_xludf.LET(
  _xlpm.task,$C24,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4" s="4" t="str">
        <f>IFERROR(IF(FIND("1",$D24),H$1,""),"")</f>
        <v/>
      </c>
      <c r="I24" s="4" t="str">
        <f>IFERROR(IF(FIND("2",$D24),I$1,""),"")</f>
        <v/>
      </c>
      <c r="J24" s="4" t="str">
        <f>IFERROR(IF(FIND("3",$D24),J$1,""),"")</f>
        <v>Wed</v>
      </c>
      <c r="K24" s="4" t="str">
        <f>IFERROR(IF(FIND("4",$D24),K$1,""),"")</f>
        <v/>
      </c>
      <c r="L24" s="4" t="str">
        <f>IFERROR(IF(FIND("5",$D24),L$1,""),"")</f>
        <v/>
      </c>
      <c r="M24" s="4" t="e">
        <f t="array" aca="1" ref="M24" ca="1">_xludf.CONCAT("every ",_xludf.TEXTJOIN(", ", TRUE, IF(H24:L24&lt;&gt;"", H24:L24, "")))</f>
        <v>#NAME?</v>
      </c>
    </row>
    <row r="25" spans="1:13" ht="15.75" customHeight="1" x14ac:dyDescent="0.25">
      <c r="A25" s="2" t="s">
        <v>23</v>
      </c>
      <c r="B25" s="2">
        <v>202</v>
      </c>
      <c r="C25" s="5" t="s">
        <v>36</v>
      </c>
      <c r="D25" s="3">
        <v>2</v>
      </c>
      <c r="E25" s="2" t="s">
        <v>42</v>
      </c>
      <c r="F25" s="4" t="str">
        <f t="array" ref="F25">INDEX(Tasks!$B:$B, MATCH(C25, Tasks!$A:$A, 0))</f>
        <v>Empty trash being careful of leaking bags.</v>
      </c>
      <c r="G25" s="4" t="e">
        <f t="array" aca="1" ref="G25" ca="1">_xludf.LET(
  _xlpm.task,$C25,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5" s="4" t="str">
        <f>IFERROR(IF(FIND("1",$D25),H$1,""),"")</f>
        <v/>
      </c>
      <c r="I25" s="4" t="str">
        <f>IFERROR(IF(FIND("2",$D25),I$1,""),"")</f>
        <v>Tue</v>
      </c>
      <c r="J25" s="4" t="str">
        <f>IFERROR(IF(FIND("3",$D25),J$1,""),"")</f>
        <v/>
      </c>
      <c r="K25" s="4" t="str">
        <f>IFERROR(IF(FIND("4",$D25),K$1,""),"")</f>
        <v/>
      </c>
      <c r="L25" s="4" t="str">
        <f>IFERROR(IF(FIND("5",$D25),L$1,""),"")</f>
        <v/>
      </c>
      <c r="M25" s="4" t="e">
        <f t="array" aca="1" ref="M25" ca="1">_xludf.CONCAT("every ",_xludf.TEXTJOIN(", ", TRUE, IF(H25:L25&lt;&gt;"", H25:L25, "")))</f>
        <v>#NAME?</v>
      </c>
    </row>
    <row r="26" spans="1:13" ht="15.75" customHeight="1" x14ac:dyDescent="0.25">
      <c r="A26" s="2" t="s">
        <v>12</v>
      </c>
      <c r="B26" s="2">
        <v>202</v>
      </c>
      <c r="C26" s="5" t="s">
        <v>36</v>
      </c>
      <c r="D26" s="3">
        <v>4</v>
      </c>
      <c r="E26" s="2" t="s">
        <v>42</v>
      </c>
      <c r="F26" s="4" t="str">
        <f t="array" ref="F26">INDEX(Tasks!$B:$B, MATCH(C26, Tasks!$A:$A, 0))</f>
        <v>Empty trash being careful of leaking bags.</v>
      </c>
      <c r="G26" s="4" t="e">
        <f t="array" aca="1" ref="G26" ca="1">_xludf.LET(
  _xlpm.task,$C26,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6" s="4" t="str">
        <f>IFERROR(IF(FIND("1",$D26),H$1,""),"")</f>
        <v/>
      </c>
      <c r="I26" s="4" t="str">
        <f>IFERROR(IF(FIND("2",$D26),I$1,""),"")</f>
        <v/>
      </c>
      <c r="J26" s="4" t="str">
        <f>IFERROR(IF(FIND("3",$D26),J$1,""),"")</f>
        <v/>
      </c>
      <c r="K26" s="4" t="str">
        <f>IFERROR(IF(FIND("4",$D26),K$1,""),"")</f>
        <v>Thu</v>
      </c>
      <c r="L26" s="4" t="str">
        <f>IFERROR(IF(FIND("5",$D26),L$1,""),"")</f>
        <v/>
      </c>
      <c r="M26" s="4" t="e">
        <f t="array" aca="1" ref="M26" ca="1">_xludf.CONCAT("every ",_xludf.TEXTJOIN(", ", TRUE, IF(H26:L26&lt;&gt;"", H26:L26, "")))</f>
        <v>#NAME?</v>
      </c>
    </row>
    <row r="27" spans="1:13" ht="15.75" customHeight="1" x14ac:dyDescent="0.25">
      <c r="A27" s="2" t="s">
        <v>23</v>
      </c>
      <c r="B27" s="2">
        <v>202</v>
      </c>
      <c r="C27" s="2" t="s">
        <v>13</v>
      </c>
      <c r="D27" s="3">
        <v>2</v>
      </c>
      <c r="E27" s="3" t="s">
        <v>42</v>
      </c>
      <c r="F27" s="4" t="str">
        <f t="array" ref="F27">INDEX(Tasks!$B:$B, MATCH(C27, Tasks!$A:$A, 0))</f>
        <v>Use Backpack Vacuum.</v>
      </c>
      <c r="G27" s="4" t="e">
        <f t="array" aca="1" ref="G27" ca="1">_xludf.LET(
  _xlpm.task,$C27,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7" s="4" t="str">
        <f>IFERROR(IF(FIND("1",$D27),H$1,""),"")</f>
        <v/>
      </c>
      <c r="I27" s="4" t="str">
        <f>IFERROR(IF(FIND("2",$D27),I$1,""),"")</f>
        <v>Tue</v>
      </c>
      <c r="J27" s="4" t="str">
        <f>IFERROR(IF(FIND("3",$D27),J$1,""),"")</f>
        <v/>
      </c>
      <c r="K27" s="4" t="str">
        <f>IFERROR(IF(FIND("4",$D27),K$1,""),"")</f>
        <v/>
      </c>
      <c r="L27" s="4" t="str">
        <f>IFERROR(IF(FIND("5",$D27),L$1,""),"")</f>
        <v/>
      </c>
      <c r="M27" s="4" t="e">
        <f t="array" aca="1" ref="M27" ca="1">_xludf.CONCAT("every ",_xludf.TEXTJOIN(", ", TRUE, IF(H27:L27&lt;&gt;"", H27:L27, "")))</f>
        <v>#NAME?</v>
      </c>
    </row>
    <row r="28" spans="1:13" ht="15.75" customHeight="1" x14ac:dyDescent="0.25">
      <c r="A28" s="2" t="s">
        <v>12</v>
      </c>
      <c r="B28" s="2">
        <v>202</v>
      </c>
      <c r="C28" s="2" t="s">
        <v>13</v>
      </c>
      <c r="D28" s="3">
        <v>1</v>
      </c>
      <c r="E28" s="2" t="s">
        <v>42</v>
      </c>
      <c r="F28" s="4" t="str">
        <f t="array" ref="F28">INDEX(Tasks!$B:$B, MATCH(C28, Tasks!$A:$A, 0))</f>
        <v>Use Backpack Vacuum.</v>
      </c>
      <c r="G28" s="4" t="e">
        <f t="array" aca="1" ref="G28" ca="1">_xludf.LET(
  _xlpm.task,$C28,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8" s="4" t="str">
        <f>IFERROR(IF(FIND("1",$D28),H$1,""),"")</f>
        <v>Mon</v>
      </c>
      <c r="I28" s="4" t="str">
        <f>IFERROR(IF(FIND("2",$D28),I$1,""),"")</f>
        <v/>
      </c>
      <c r="J28" s="4" t="str">
        <f>IFERROR(IF(FIND("3",$D28),J$1,""),"")</f>
        <v/>
      </c>
      <c r="K28" s="4" t="str">
        <f>IFERROR(IF(FIND("4",$D28),K$1,""),"")</f>
        <v/>
      </c>
      <c r="L28" s="4" t="str">
        <f>IFERROR(IF(FIND("5",$D28),L$1,""),"")</f>
        <v/>
      </c>
      <c r="M28" s="4" t="e">
        <f t="array" aca="1" ref="M28" ca="1">_xludf.CONCAT("every ",_xludf.TEXTJOIN(", ", TRUE, IF(H28:L28&lt;&gt;"", H28:L28, "")))</f>
        <v>#NAME?</v>
      </c>
    </row>
    <row r="29" spans="1:13" ht="15.75" customHeight="1" x14ac:dyDescent="0.25">
      <c r="A29" s="2" t="s">
        <v>23</v>
      </c>
      <c r="B29" s="2">
        <v>202</v>
      </c>
      <c r="C29" s="5" t="s">
        <v>25</v>
      </c>
      <c r="D29" s="3">
        <v>2</v>
      </c>
      <c r="E29" s="2" t="s">
        <v>42</v>
      </c>
      <c r="F29" s="4" t="str">
        <f t="array" ref="F29">INDEX(Tasks!$B:$B, MATCH(C29, Tasks!$A:$A, 0))</f>
        <v>Spray with 2in1, wipe with Paper Towel.</v>
      </c>
      <c r="G29" s="4" t="e">
        <f t="array" aca="1" ref="G29" ca="1">_xludf.LET(
  _xlpm.task,$C29,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9" s="4" t="str">
        <f>IFERROR(IF(FIND("1",$D29),H$1,""),"")</f>
        <v/>
      </c>
      <c r="I29" s="4" t="str">
        <f>IFERROR(IF(FIND("2",$D29),I$1,""),"")</f>
        <v>Tue</v>
      </c>
      <c r="J29" s="4" t="str">
        <f>IFERROR(IF(FIND("3",$D29),J$1,""),"")</f>
        <v/>
      </c>
      <c r="K29" s="4" t="str">
        <f>IFERROR(IF(FIND("4",$D29),K$1,""),"")</f>
        <v/>
      </c>
      <c r="L29" s="4" t="str">
        <f>IFERROR(IF(FIND("5",$D29),L$1,""),"")</f>
        <v/>
      </c>
      <c r="M29" s="4" t="e">
        <f t="array" aca="1" ref="M29" ca="1">_xludf.CONCAT("every ",_xludf.TEXTJOIN(", ", TRUE, IF(H29:L29&lt;&gt;"", H29:L29, "")))</f>
        <v>#NAME?</v>
      </c>
    </row>
    <row r="30" spans="1:13" ht="15.75" customHeight="1" x14ac:dyDescent="0.25">
      <c r="A30" s="2" t="s">
        <v>12</v>
      </c>
      <c r="B30" s="2">
        <v>202</v>
      </c>
      <c r="C30" s="5" t="s">
        <v>25</v>
      </c>
      <c r="D30" s="3">
        <v>3</v>
      </c>
      <c r="E30" s="2" t="s">
        <v>42</v>
      </c>
      <c r="F30" s="4" t="str">
        <f t="array" ref="F30">INDEX(Tasks!$B:$B, MATCH(C30, Tasks!$A:$A, 0))</f>
        <v>Spray with 2in1, wipe with Paper Towel.</v>
      </c>
      <c r="G30" s="4" t="e">
        <f t="array" aca="1" ref="G30" ca="1">_xludf.LET(
  _xlpm.task,$C30,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30" s="4" t="str">
        <f>IFERROR(IF(FIND("1",$D30),H$1,""),"")</f>
        <v/>
      </c>
      <c r="I30" s="4" t="str">
        <f>IFERROR(IF(FIND("2",$D30),I$1,""),"")</f>
        <v/>
      </c>
      <c r="J30" s="4" t="str">
        <f>IFERROR(IF(FIND("3",$D30),J$1,""),"")</f>
        <v>Wed</v>
      </c>
      <c r="K30" s="4" t="str">
        <f>IFERROR(IF(FIND("4",$D30),K$1,""),"")</f>
        <v/>
      </c>
      <c r="L30" s="4" t="str">
        <f>IFERROR(IF(FIND("5",$D30),L$1,""),"")</f>
        <v/>
      </c>
      <c r="M30" s="4" t="e">
        <f t="array" aca="1" ref="M30" ca="1">_xludf.CONCAT("every ",_xludf.TEXTJOIN(", ", TRUE, IF(H30:L30&lt;&gt;"", H30:L30, "")))</f>
        <v>#NAME?</v>
      </c>
    </row>
    <row r="31" spans="1:13" ht="15.75" customHeight="1" x14ac:dyDescent="0.25">
      <c r="A31" s="2" t="s">
        <v>23</v>
      </c>
      <c r="B31" s="2">
        <v>203</v>
      </c>
      <c r="C31" s="5" t="s">
        <v>36</v>
      </c>
      <c r="D31" s="3">
        <v>2</v>
      </c>
      <c r="E31" s="2" t="s">
        <v>42</v>
      </c>
      <c r="F31" s="4" t="str">
        <f t="array" ref="F31">INDEX(Tasks!$B:$B, MATCH(C31, Tasks!$A:$A, 0))</f>
        <v>Empty trash being careful of leaking bags.</v>
      </c>
      <c r="G31" s="4" t="e">
        <f t="array" aca="1" ref="G31" ca="1">_xludf.LET(
  _xlpm.task,$C31,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31" s="4" t="str">
        <f>IFERROR(IF(FIND("1",$D31),H$1,""),"")</f>
        <v/>
      </c>
      <c r="I31" s="4" t="str">
        <f>IFERROR(IF(FIND("2",$D31),I$1,""),"")</f>
        <v>Tue</v>
      </c>
      <c r="J31" s="4" t="str">
        <f>IFERROR(IF(FIND("3",$D31),J$1,""),"")</f>
        <v/>
      </c>
      <c r="K31" s="4" t="str">
        <f>IFERROR(IF(FIND("4",$D31),K$1,""),"")</f>
        <v/>
      </c>
      <c r="L31" s="4" t="str">
        <f>IFERROR(IF(FIND("5",$D31),L$1,""),"")</f>
        <v/>
      </c>
      <c r="M31" s="4" t="e">
        <f t="array" aca="1" ref="M31" ca="1">_xludf.CONCAT("every ",_xludf.TEXTJOIN(", ", TRUE, IF(H31:L31&lt;&gt;"", H31:L31, "")))</f>
        <v>#NAME?</v>
      </c>
    </row>
    <row r="32" spans="1:13" ht="15.75" customHeight="1" x14ac:dyDescent="0.25">
      <c r="A32" s="2" t="s">
        <v>12</v>
      </c>
      <c r="B32" s="2">
        <v>203</v>
      </c>
      <c r="C32" s="5" t="s">
        <v>36</v>
      </c>
      <c r="D32" s="3">
        <v>4</v>
      </c>
      <c r="E32" s="2" t="s">
        <v>42</v>
      </c>
      <c r="F32" s="4" t="str">
        <f t="array" ref="F32">INDEX(Tasks!$B:$B, MATCH(C32, Tasks!$A:$A, 0))</f>
        <v>Empty trash being careful of leaking bags.</v>
      </c>
      <c r="G32" s="4" t="e">
        <f t="array" aca="1" ref="G32" ca="1">_xludf.LET(
  _xlpm.task,$C32,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32" s="4" t="str">
        <f>IFERROR(IF(FIND("1",$D32),H$1,""),"")</f>
        <v/>
      </c>
      <c r="I32" s="4" t="str">
        <f>IFERROR(IF(FIND("2",$D32),I$1,""),"")</f>
        <v/>
      </c>
      <c r="J32" s="4" t="str">
        <f>IFERROR(IF(FIND("3",$D32),J$1,""),"")</f>
        <v/>
      </c>
      <c r="K32" s="4" t="str">
        <f>IFERROR(IF(FIND("4",$D32),K$1,""),"")</f>
        <v>Thu</v>
      </c>
      <c r="L32" s="4" t="str">
        <f>IFERROR(IF(FIND("5",$D32),L$1,""),"")</f>
        <v/>
      </c>
      <c r="M32" s="4" t="e">
        <f t="array" aca="1" ref="M32" ca="1">_xludf.CONCAT("every ",_xludf.TEXTJOIN(", ", TRUE, IF(H32:L32&lt;&gt;"", H32:L32, "")))</f>
        <v>#NAME?</v>
      </c>
    </row>
    <row r="33" spans="1:13" ht="15.75" customHeight="1" x14ac:dyDescent="0.25">
      <c r="A33" s="2" t="s">
        <v>23</v>
      </c>
      <c r="B33" s="2">
        <v>203</v>
      </c>
      <c r="C33" s="2" t="s">
        <v>13</v>
      </c>
      <c r="D33" s="3">
        <v>2</v>
      </c>
      <c r="E33" s="3" t="s">
        <v>42</v>
      </c>
      <c r="F33" s="4" t="str">
        <f t="array" ref="F33">INDEX(Tasks!$B:$B, MATCH(C33, Tasks!$A:$A, 0))</f>
        <v>Use Backpack Vacuum.</v>
      </c>
      <c r="G33" s="4" t="e">
        <f t="array" aca="1" ref="G33" ca="1">_xludf.LET(
  _xlpm.task,$C33,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33" s="4" t="str">
        <f>IFERROR(IF(FIND("1",$D33),H$1,""),"")</f>
        <v/>
      </c>
      <c r="I33" s="4" t="str">
        <f>IFERROR(IF(FIND("2",$D33),I$1,""),"")</f>
        <v>Tue</v>
      </c>
      <c r="J33" s="4" t="str">
        <f>IFERROR(IF(FIND("3",$D33),J$1,""),"")</f>
        <v/>
      </c>
      <c r="K33" s="4" t="str">
        <f>IFERROR(IF(FIND("4",$D33),K$1,""),"")</f>
        <v/>
      </c>
      <c r="L33" s="4" t="str">
        <f>IFERROR(IF(FIND("5",$D33),L$1,""),"")</f>
        <v/>
      </c>
      <c r="M33" s="4" t="e">
        <f t="array" aca="1" ref="M33" ca="1">_xludf.CONCAT("every ",_xludf.TEXTJOIN(", ", TRUE, IF(H33:L33&lt;&gt;"", H33:L33, "")))</f>
        <v>#NAME?</v>
      </c>
    </row>
    <row r="34" spans="1:13" ht="15.75" customHeight="1" x14ac:dyDescent="0.25">
      <c r="A34" s="2" t="s">
        <v>12</v>
      </c>
      <c r="B34" s="2">
        <v>203</v>
      </c>
      <c r="C34" s="2" t="s">
        <v>13</v>
      </c>
      <c r="D34" s="3">
        <v>1</v>
      </c>
      <c r="E34" s="2" t="s">
        <v>42</v>
      </c>
      <c r="F34" s="4" t="str">
        <f t="array" ref="F34">INDEX(Tasks!$B:$B, MATCH(C34, Tasks!$A:$A, 0))</f>
        <v>Use Backpack Vacuum.</v>
      </c>
      <c r="G34" s="4" t="e">
        <f t="array" aca="1" ref="G34" ca="1">_xludf.LET(
  _xlpm.task,$C34,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34" s="4" t="str">
        <f>IFERROR(IF(FIND("1",$D34),H$1,""),"")</f>
        <v>Mon</v>
      </c>
      <c r="I34" s="4" t="str">
        <f>IFERROR(IF(FIND("2",$D34),I$1,""),"")</f>
        <v/>
      </c>
      <c r="J34" s="4" t="str">
        <f>IFERROR(IF(FIND("3",$D34),J$1,""),"")</f>
        <v/>
      </c>
      <c r="K34" s="4" t="str">
        <f>IFERROR(IF(FIND("4",$D34),K$1,""),"")</f>
        <v/>
      </c>
      <c r="L34" s="4" t="str">
        <f>IFERROR(IF(FIND("5",$D34),L$1,""),"")</f>
        <v/>
      </c>
      <c r="M34" s="4" t="e">
        <f t="array" aca="1" ref="M34" ca="1">_xludf.CONCAT("every ",_xludf.TEXTJOIN(", ", TRUE, IF(H34:L34&lt;&gt;"", H34:L34, "")))</f>
        <v>#NAME?</v>
      </c>
    </row>
    <row r="35" spans="1:13" ht="15.75" customHeight="1" x14ac:dyDescent="0.25">
      <c r="A35" s="2" t="s">
        <v>23</v>
      </c>
      <c r="B35" s="2">
        <v>203</v>
      </c>
      <c r="C35" s="5" t="s">
        <v>25</v>
      </c>
      <c r="D35" s="3">
        <v>2</v>
      </c>
      <c r="E35" s="2" t="s">
        <v>42</v>
      </c>
      <c r="F35" s="4" t="str">
        <f t="array" ref="F35">INDEX(Tasks!$B:$B, MATCH(C35, Tasks!$A:$A, 0))</f>
        <v>Spray with 2in1, wipe with Paper Towel.</v>
      </c>
      <c r="G35" s="4" t="e">
        <f t="array" aca="1" ref="G35" ca="1">_xludf.LET(
  _xlpm.task,$C35,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35" s="4" t="str">
        <f>IFERROR(IF(FIND("1",$D35),H$1,""),"")</f>
        <v/>
      </c>
      <c r="I35" s="4" t="str">
        <f>IFERROR(IF(FIND("2",$D35),I$1,""),"")</f>
        <v>Tue</v>
      </c>
      <c r="J35" s="4" t="str">
        <f>IFERROR(IF(FIND("3",$D35),J$1,""),"")</f>
        <v/>
      </c>
      <c r="K35" s="4" t="str">
        <f>IFERROR(IF(FIND("4",$D35),K$1,""),"")</f>
        <v/>
      </c>
      <c r="L35" s="4" t="str">
        <f>IFERROR(IF(FIND("5",$D35),L$1,""),"")</f>
        <v/>
      </c>
      <c r="M35" s="4" t="e">
        <f t="array" aca="1" ref="M35" ca="1">_xludf.CONCAT("every ",_xludf.TEXTJOIN(", ", TRUE, IF(H35:L35&lt;&gt;"", H35:L35, "")))</f>
        <v>#NAME?</v>
      </c>
    </row>
    <row r="36" spans="1:13" ht="15.75" customHeight="1" x14ac:dyDescent="0.25">
      <c r="A36" s="2" t="s">
        <v>12</v>
      </c>
      <c r="B36" s="2">
        <v>203</v>
      </c>
      <c r="C36" s="5" t="s">
        <v>25</v>
      </c>
      <c r="D36" s="3">
        <v>3</v>
      </c>
      <c r="E36" s="2" t="s">
        <v>42</v>
      </c>
      <c r="F36" s="4" t="str">
        <f t="array" ref="F36">INDEX(Tasks!$B:$B, MATCH(C36, Tasks!$A:$A, 0))</f>
        <v>Spray with 2in1, wipe with Paper Towel.</v>
      </c>
      <c r="G36" s="4" t="e">
        <f t="array" aca="1" ref="G36" ca="1">_xludf.LET(
  _xlpm.task,$C36,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36" s="4" t="str">
        <f>IFERROR(IF(FIND("1",$D36),H$1,""),"")</f>
        <v/>
      </c>
      <c r="I36" s="4" t="str">
        <f>IFERROR(IF(FIND("2",$D36),I$1,""),"")</f>
        <v/>
      </c>
      <c r="J36" s="4" t="str">
        <f>IFERROR(IF(FIND("3",$D36),J$1,""),"")</f>
        <v>Wed</v>
      </c>
      <c r="K36" s="4" t="str">
        <f>IFERROR(IF(FIND("4",$D36),K$1,""),"")</f>
        <v/>
      </c>
      <c r="L36" s="4" t="str">
        <f>IFERROR(IF(FIND("5",$D36),L$1,""),"")</f>
        <v/>
      </c>
      <c r="M36" s="4" t="e">
        <f t="array" aca="1" ref="M36" ca="1">_xludf.CONCAT("every ",_xludf.TEXTJOIN(", ", TRUE, IF(H36:L36&lt;&gt;"", H36:L36, "")))</f>
        <v>#NAME?</v>
      </c>
    </row>
    <row r="37" spans="1:13" ht="15.75" customHeight="1" x14ac:dyDescent="0.25">
      <c r="A37" s="2" t="s">
        <v>23</v>
      </c>
      <c r="B37" s="2">
        <v>204</v>
      </c>
      <c r="C37" s="5" t="s">
        <v>36</v>
      </c>
      <c r="D37" s="3">
        <v>2</v>
      </c>
      <c r="E37" s="2" t="s">
        <v>42</v>
      </c>
      <c r="F37" s="4" t="str">
        <f t="array" ref="F37">INDEX(Tasks!$B:$B, MATCH(C37, Tasks!$A:$A, 0))</f>
        <v>Empty trash being careful of leaking bags.</v>
      </c>
      <c r="G37" s="4" t="e">
        <f t="array" aca="1" ref="G37" ca="1">_xludf.LET(
  _xlpm.task,$C37,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37" s="4" t="str">
        <f>IFERROR(IF(FIND("1",$D37),H$1,""),"")</f>
        <v/>
      </c>
      <c r="I37" s="4" t="str">
        <f>IFERROR(IF(FIND("2",$D37),I$1,""),"")</f>
        <v>Tue</v>
      </c>
      <c r="J37" s="4" t="str">
        <f>IFERROR(IF(FIND("3",$D37),J$1,""),"")</f>
        <v/>
      </c>
      <c r="K37" s="4" t="str">
        <f>IFERROR(IF(FIND("4",$D37),K$1,""),"")</f>
        <v/>
      </c>
      <c r="L37" s="4" t="str">
        <f>IFERROR(IF(FIND("5",$D37),L$1,""),"")</f>
        <v/>
      </c>
      <c r="M37" s="4" t="e">
        <f t="array" aca="1" ref="M37" ca="1">_xludf.CONCAT("every ",_xludf.TEXTJOIN(", ", TRUE, IF(H37:L37&lt;&gt;"", H37:L37, "")))</f>
        <v>#NAME?</v>
      </c>
    </row>
    <row r="38" spans="1:13" ht="15.75" customHeight="1" x14ac:dyDescent="0.25">
      <c r="A38" s="2" t="s">
        <v>12</v>
      </c>
      <c r="B38" s="2">
        <v>204</v>
      </c>
      <c r="C38" s="5" t="s">
        <v>36</v>
      </c>
      <c r="D38" s="3">
        <v>4</v>
      </c>
      <c r="E38" s="2" t="s">
        <v>42</v>
      </c>
      <c r="F38" s="4" t="str">
        <f t="array" ref="F38">INDEX(Tasks!$B:$B, MATCH(C38, Tasks!$A:$A, 0))</f>
        <v>Empty trash being careful of leaking bags.</v>
      </c>
      <c r="G38" s="4" t="e">
        <f t="array" aca="1" ref="G38" ca="1">_xludf.LET(
  _xlpm.task,$C38,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38" s="4" t="str">
        <f>IFERROR(IF(FIND("1",$D38),H$1,""),"")</f>
        <v/>
      </c>
      <c r="I38" s="4" t="str">
        <f>IFERROR(IF(FIND("2",$D38),I$1,""),"")</f>
        <v/>
      </c>
      <c r="J38" s="4" t="str">
        <f>IFERROR(IF(FIND("3",$D38),J$1,""),"")</f>
        <v/>
      </c>
      <c r="K38" s="4" t="str">
        <f>IFERROR(IF(FIND("4",$D38),K$1,""),"")</f>
        <v>Thu</v>
      </c>
      <c r="L38" s="4" t="str">
        <f>IFERROR(IF(FIND("5",$D38),L$1,""),"")</f>
        <v/>
      </c>
      <c r="M38" s="4" t="e">
        <f t="array" aca="1" ref="M38" ca="1">_xludf.CONCAT("every ",_xludf.TEXTJOIN(", ", TRUE, IF(H38:L38&lt;&gt;"", H38:L38, "")))</f>
        <v>#NAME?</v>
      </c>
    </row>
    <row r="39" spans="1:13" ht="15.75" customHeight="1" x14ac:dyDescent="0.25">
      <c r="A39" s="2" t="s">
        <v>23</v>
      </c>
      <c r="B39" s="2">
        <v>204</v>
      </c>
      <c r="C39" s="2" t="s">
        <v>13</v>
      </c>
      <c r="D39" s="3">
        <v>2</v>
      </c>
      <c r="E39" s="3" t="s">
        <v>42</v>
      </c>
      <c r="F39" s="4" t="str">
        <f t="array" ref="F39">INDEX(Tasks!$B:$B, MATCH(C39, Tasks!$A:$A, 0))</f>
        <v>Use Backpack Vacuum.</v>
      </c>
      <c r="G39" s="4" t="e">
        <f t="array" aca="1" ref="G39" ca="1">_xludf.LET(
  _xlpm.task,$C39,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39" s="4" t="str">
        <f>IFERROR(IF(FIND("1",$D39),H$1,""),"")</f>
        <v/>
      </c>
      <c r="I39" s="4" t="str">
        <f>IFERROR(IF(FIND("2",$D39),I$1,""),"")</f>
        <v>Tue</v>
      </c>
      <c r="J39" s="4" t="str">
        <f>IFERROR(IF(FIND("3",$D39),J$1,""),"")</f>
        <v/>
      </c>
      <c r="K39" s="4" t="str">
        <f>IFERROR(IF(FIND("4",$D39),K$1,""),"")</f>
        <v/>
      </c>
      <c r="L39" s="4" t="str">
        <f>IFERROR(IF(FIND("5",$D39),L$1,""),"")</f>
        <v/>
      </c>
      <c r="M39" s="4" t="e">
        <f t="array" aca="1" ref="M39" ca="1">_xludf.CONCAT("every ",_xludf.TEXTJOIN(", ", TRUE, IF(H39:L39&lt;&gt;"", H39:L39, "")))</f>
        <v>#NAME?</v>
      </c>
    </row>
    <row r="40" spans="1:13" ht="15.75" customHeight="1" x14ac:dyDescent="0.25">
      <c r="A40" s="2" t="s">
        <v>12</v>
      </c>
      <c r="B40" s="2">
        <v>204</v>
      </c>
      <c r="C40" s="2" t="s">
        <v>13</v>
      </c>
      <c r="D40" s="3">
        <v>1</v>
      </c>
      <c r="E40" s="2" t="s">
        <v>42</v>
      </c>
      <c r="F40" s="4" t="str">
        <f t="array" ref="F40">INDEX(Tasks!$B:$B, MATCH(C40, Tasks!$A:$A, 0))</f>
        <v>Use Backpack Vacuum.</v>
      </c>
      <c r="G40" s="4" t="e">
        <f t="array" aca="1" ref="G40" ca="1">_xludf.LET(
  _xlpm.task,$C40,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40" s="4" t="str">
        <f>IFERROR(IF(FIND("1",$D40),H$1,""),"")</f>
        <v>Mon</v>
      </c>
      <c r="I40" s="4" t="str">
        <f>IFERROR(IF(FIND("2",$D40),I$1,""),"")</f>
        <v/>
      </c>
      <c r="J40" s="4" t="str">
        <f>IFERROR(IF(FIND("3",$D40),J$1,""),"")</f>
        <v/>
      </c>
      <c r="K40" s="4" t="str">
        <f>IFERROR(IF(FIND("4",$D40),K$1,""),"")</f>
        <v/>
      </c>
      <c r="L40" s="4" t="str">
        <f>IFERROR(IF(FIND("5",$D40),L$1,""),"")</f>
        <v/>
      </c>
      <c r="M40" s="4" t="e">
        <f t="array" aca="1" ref="M40" ca="1">_xludf.CONCAT("every ",_xludf.TEXTJOIN(", ", TRUE, IF(H40:L40&lt;&gt;"", H40:L40, "")))</f>
        <v>#NAME?</v>
      </c>
    </row>
    <row r="41" spans="1:13" ht="15.75" customHeight="1" x14ac:dyDescent="0.25">
      <c r="A41" s="2" t="s">
        <v>23</v>
      </c>
      <c r="B41" s="2">
        <v>204</v>
      </c>
      <c r="C41" s="5" t="s">
        <v>25</v>
      </c>
      <c r="D41" s="3">
        <v>2</v>
      </c>
      <c r="E41" s="2" t="s">
        <v>42</v>
      </c>
      <c r="F41" s="4" t="str">
        <f t="array" ref="F41">INDEX(Tasks!$B:$B, MATCH(C41, Tasks!$A:$A, 0))</f>
        <v>Spray with 2in1, wipe with Paper Towel.</v>
      </c>
      <c r="G41" s="4" t="e">
        <f t="array" aca="1" ref="G41" ca="1">_xludf.LET(
  _xlpm.task,$C41,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41" s="4" t="str">
        <f>IFERROR(IF(FIND("1",$D41),H$1,""),"")</f>
        <v/>
      </c>
      <c r="I41" s="4" t="str">
        <f>IFERROR(IF(FIND("2",$D41),I$1,""),"")</f>
        <v>Tue</v>
      </c>
      <c r="J41" s="4" t="str">
        <f>IFERROR(IF(FIND("3",$D41),J$1,""),"")</f>
        <v/>
      </c>
      <c r="K41" s="4" t="str">
        <f>IFERROR(IF(FIND("4",$D41),K$1,""),"")</f>
        <v/>
      </c>
      <c r="L41" s="4" t="str">
        <f>IFERROR(IF(FIND("5",$D41),L$1,""),"")</f>
        <v/>
      </c>
      <c r="M41" s="4" t="e">
        <f t="array" aca="1" ref="M41" ca="1">_xludf.CONCAT("every ",_xludf.TEXTJOIN(", ", TRUE, IF(H41:L41&lt;&gt;"", H41:L41, "")))</f>
        <v>#NAME?</v>
      </c>
    </row>
    <row r="42" spans="1:13" ht="15.75" customHeight="1" x14ac:dyDescent="0.25">
      <c r="A42" s="2" t="s">
        <v>12</v>
      </c>
      <c r="B42" s="2">
        <v>204</v>
      </c>
      <c r="C42" s="5" t="s">
        <v>25</v>
      </c>
      <c r="D42" s="3">
        <v>3</v>
      </c>
      <c r="E42" s="2" t="s">
        <v>42</v>
      </c>
      <c r="F42" s="4" t="str">
        <f t="array" ref="F42">INDEX(Tasks!$B:$B, MATCH(C42, Tasks!$A:$A, 0))</f>
        <v>Spray with 2in1, wipe with Paper Towel.</v>
      </c>
      <c r="G42" s="4" t="e">
        <f t="array" aca="1" ref="G42" ca="1">_xludf.LET(
  _xlpm.task,$C42,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42" s="4" t="str">
        <f>IFERROR(IF(FIND("1",$D42),H$1,""),"")</f>
        <v/>
      </c>
      <c r="I42" s="4" t="str">
        <f>IFERROR(IF(FIND("2",$D42),I$1,""),"")</f>
        <v/>
      </c>
      <c r="J42" s="4" t="str">
        <f>IFERROR(IF(FIND("3",$D42),J$1,""),"")</f>
        <v>Wed</v>
      </c>
      <c r="K42" s="4" t="str">
        <f>IFERROR(IF(FIND("4",$D42),K$1,""),"")</f>
        <v/>
      </c>
      <c r="L42" s="4" t="str">
        <f>IFERROR(IF(FIND("5",$D42),L$1,""),"")</f>
        <v/>
      </c>
      <c r="M42" s="4" t="e">
        <f t="array" aca="1" ref="M42" ca="1">_xludf.CONCAT("every ",_xludf.TEXTJOIN(", ", TRUE, IF(H42:L42&lt;&gt;"", H42:L42, "")))</f>
        <v>#NAME?</v>
      </c>
    </row>
    <row r="43" spans="1:13" ht="15.75" customHeight="1" x14ac:dyDescent="0.25">
      <c r="A43" s="2" t="s">
        <v>12</v>
      </c>
      <c r="B43" s="2">
        <v>205</v>
      </c>
      <c r="C43" s="5" t="s">
        <v>36</v>
      </c>
      <c r="D43" s="3">
        <v>4</v>
      </c>
      <c r="E43" s="2" t="s">
        <v>42</v>
      </c>
      <c r="F43" s="4" t="str">
        <f t="array" ref="F43">INDEX(Tasks!$B:$B, MATCH(C43, Tasks!$A:$A, 0))</f>
        <v>Empty trash being careful of leaking bags.</v>
      </c>
      <c r="G43" s="4" t="e">
        <f t="array" aca="1" ref="G43" ca="1">_xludf.LET(
  _xlpm.task,$C43,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43" s="4" t="str">
        <f>IFERROR(IF(FIND("1",$D43),H$1,""),"")</f>
        <v/>
      </c>
      <c r="I43" s="4" t="str">
        <f>IFERROR(IF(FIND("2",$D43),I$1,""),"")</f>
        <v/>
      </c>
      <c r="J43" s="4" t="str">
        <f>IFERROR(IF(FIND("3",$D43),J$1,""),"")</f>
        <v/>
      </c>
      <c r="K43" s="4" t="str">
        <f>IFERROR(IF(FIND("4",$D43),K$1,""),"")</f>
        <v>Thu</v>
      </c>
      <c r="L43" s="4" t="str">
        <f>IFERROR(IF(FIND("5",$D43),L$1,""),"")</f>
        <v/>
      </c>
      <c r="M43" s="4" t="e">
        <f t="array" aca="1" ref="M43" ca="1">_xludf.CONCAT("every ",_xludf.TEXTJOIN(", ", TRUE, IF(H43:L43&lt;&gt;"", H43:L43, "")))</f>
        <v>#NAME?</v>
      </c>
    </row>
    <row r="44" spans="1:13" ht="15.75" customHeight="1" x14ac:dyDescent="0.25">
      <c r="A44" s="2" t="s">
        <v>12</v>
      </c>
      <c r="B44" s="2">
        <v>205</v>
      </c>
      <c r="C44" s="2" t="s">
        <v>13</v>
      </c>
      <c r="D44" s="3">
        <v>1</v>
      </c>
      <c r="E44" s="2" t="s">
        <v>42</v>
      </c>
      <c r="F44" s="4" t="str">
        <f t="array" ref="F44">INDEX(Tasks!$B:$B, MATCH(C44, Tasks!$A:$A, 0))</f>
        <v>Use Backpack Vacuum.</v>
      </c>
      <c r="G44" s="4" t="e">
        <f t="array" aca="1" ref="G44" ca="1">_xludf.LET(
  _xlpm.task,$C44,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44" s="4" t="str">
        <f>IFERROR(IF(FIND("1",$D44),H$1,""),"")</f>
        <v>Mon</v>
      </c>
      <c r="I44" s="4" t="str">
        <f>IFERROR(IF(FIND("2",$D44),I$1,""),"")</f>
        <v/>
      </c>
      <c r="J44" s="4" t="str">
        <f>IFERROR(IF(FIND("3",$D44),J$1,""),"")</f>
        <v/>
      </c>
      <c r="K44" s="4" t="str">
        <f>IFERROR(IF(FIND("4",$D44),K$1,""),"")</f>
        <v/>
      </c>
      <c r="L44" s="4" t="str">
        <f>IFERROR(IF(FIND("5",$D44),L$1,""),"")</f>
        <v/>
      </c>
      <c r="M44" s="4" t="e">
        <f t="array" aca="1" ref="M44" ca="1">_xludf.CONCAT("every ",_xludf.TEXTJOIN(", ", TRUE, IF(H44:L44&lt;&gt;"", H44:L44, "")))</f>
        <v>#NAME?</v>
      </c>
    </row>
    <row r="45" spans="1:13" ht="15.75" customHeight="1" x14ac:dyDescent="0.25">
      <c r="A45" s="2" t="s">
        <v>12</v>
      </c>
      <c r="B45" s="2">
        <v>205</v>
      </c>
      <c r="C45" s="5" t="s">
        <v>45</v>
      </c>
      <c r="D45" s="3">
        <v>3</v>
      </c>
      <c r="E45" s="2" t="s">
        <v>42</v>
      </c>
      <c r="F45" s="4" t="str">
        <f t="array" ref="F45">INDEX(Tasks!$B:$B, MATCH(C45, Tasks!$A:$A, 0))</f>
        <v>Spray with 2in1, wipe with Paper Towel.</v>
      </c>
      <c r="G45" s="4" t="e">
        <f t="array" aca="1" ref="G45" ca="1">_xludf.LET(
  _xlpm.task,$C45,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45" s="4" t="str">
        <f>IFERROR(IF(FIND("1",$D45),H$1,""),"")</f>
        <v/>
      </c>
      <c r="I45" s="4" t="str">
        <f>IFERROR(IF(FIND("2",$D45),I$1,""),"")</f>
        <v/>
      </c>
      <c r="J45" s="4" t="str">
        <f>IFERROR(IF(FIND("3",$D45),J$1,""),"")</f>
        <v>Wed</v>
      </c>
      <c r="K45" s="4" t="str">
        <f>IFERROR(IF(FIND("4",$D45),K$1,""),"")</f>
        <v/>
      </c>
      <c r="L45" s="4" t="str">
        <f>IFERROR(IF(FIND("5",$D45),L$1,""),"")</f>
        <v/>
      </c>
      <c r="M45" s="4" t="e">
        <f t="array" aca="1" ref="M45" ca="1">_xludf.CONCAT("every ",_xludf.TEXTJOIN(", ", TRUE, IF(H45:L45&lt;&gt;"", H45:L45, "")))</f>
        <v>#NAME?</v>
      </c>
    </row>
    <row r="46" spans="1:13" ht="15.75" customHeight="1" x14ac:dyDescent="0.25">
      <c r="A46" s="2" t="s">
        <v>12</v>
      </c>
      <c r="B46" s="2">
        <v>205</v>
      </c>
      <c r="C46" s="5" t="s">
        <v>25</v>
      </c>
      <c r="D46" s="3">
        <v>3</v>
      </c>
      <c r="E46" s="2" t="s">
        <v>42</v>
      </c>
      <c r="F46" s="4" t="str">
        <f t="array" ref="F46">INDEX(Tasks!$B:$B, MATCH(C46, Tasks!$A:$A, 0))</f>
        <v>Spray with 2in1, wipe with Paper Towel.</v>
      </c>
      <c r="G46" s="4" t="e">
        <f t="array" aca="1" ref="G46" ca="1">_xludf.LET(
  _xlpm.task,$C46,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46" s="4" t="str">
        <f>IFERROR(IF(FIND("1",$D46),H$1,""),"")</f>
        <v/>
      </c>
      <c r="I46" s="4" t="str">
        <f>IFERROR(IF(FIND("2",$D46),I$1,""),"")</f>
        <v/>
      </c>
      <c r="J46" s="4" t="str">
        <f>IFERROR(IF(FIND("3",$D46),J$1,""),"")</f>
        <v>Wed</v>
      </c>
      <c r="K46" s="4" t="str">
        <f>IFERROR(IF(FIND("4",$D46),K$1,""),"")</f>
        <v/>
      </c>
      <c r="L46" s="4" t="str">
        <f>IFERROR(IF(FIND("5",$D46),L$1,""),"")</f>
        <v/>
      </c>
      <c r="M46" s="4" t="e">
        <f t="array" aca="1" ref="M46" ca="1">_xludf.CONCAT("every ",_xludf.TEXTJOIN(", ", TRUE, IF(H46:L46&lt;&gt;"", H46:L46, "")))</f>
        <v>#NAME?</v>
      </c>
    </row>
    <row r="47" spans="1:13" ht="15.75" customHeight="1" x14ac:dyDescent="0.25">
      <c r="A47" s="2" t="s">
        <v>12</v>
      </c>
      <c r="B47" s="2" t="s">
        <v>57</v>
      </c>
      <c r="C47" s="5" t="s">
        <v>24</v>
      </c>
      <c r="D47" s="3">
        <v>5</v>
      </c>
      <c r="E47" s="2" t="s">
        <v>42</v>
      </c>
      <c r="F47" s="4" t="str">
        <f t="array" ref="F47">INDEX(Tasks!$B:$B, MATCH(C47, Tasks!$A:$A, 0))</f>
        <v>Empty trash being careful of leaking bags.</v>
      </c>
      <c r="G47" s="4" t="e">
        <f t="array" aca="1" ref="G47" ca="1">_xludf.LET(
  _xlpm.task,$C47,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47" s="4" t="str">
        <f>IFERROR(IF(FIND("1",$D47),H$1,""),"")</f>
        <v/>
      </c>
      <c r="I47" s="4" t="str">
        <f>IFERROR(IF(FIND("2",$D47),I$1,""),"")</f>
        <v/>
      </c>
      <c r="J47" s="4" t="str">
        <f>IFERROR(IF(FIND("3",$D47),J$1,""),"")</f>
        <v/>
      </c>
      <c r="K47" s="4" t="str">
        <f>IFERROR(IF(FIND("4",$D47),K$1,""),"")</f>
        <v/>
      </c>
      <c r="L47" s="4" t="str">
        <f>IFERROR(IF(FIND("5",$D47),L$1,""),"")</f>
        <v>Fri</v>
      </c>
      <c r="M47" s="4" t="e">
        <f t="array" aca="1" ref="M47" ca="1">_xludf.CONCAT("every ",_xludf.TEXTJOIN(", ", TRUE, IF(H47:L47&lt;&gt;"", H47:L47, "")))</f>
        <v>#NAME?</v>
      </c>
    </row>
    <row r="48" spans="1:13" ht="15.75" customHeight="1" x14ac:dyDescent="0.25">
      <c r="A48" s="2" t="s">
        <v>12</v>
      </c>
      <c r="B48" s="2" t="s">
        <v>57</v>
      </c>
      <c r="C48" s="2" t="s">
        <v>13</v>
      </c>
      <c r="D48" s="3">
        <v>5</v>
      </c>
      <c r="E48" s="2" t="s">
        <v>42</v>
      </c>
      <c r="F48" s="4" t="str">
        <f t="array" ref="F48">INDEX(Tasks!$B:$B, MATCH(C48, Tasks!$A:$A, 0))</f>
        <v>Use Backpack Vacuum.</v>
      </c>
      <c r="G48" s="4" t="e">
        <f t="array" aca="1" ref="G48" ca="1">_xludf.LET(
  _xlpm.task,$C48,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48" s="4" t="str">
        <f>IFERROR(IF(FIND("1",$D48),H$1,""),"")</f>
        <v/>
      </c>
      <c r="I48" s="4" t="str">
        <f>IFERROR(IF(FIND("2",$D48),I$1,""),"")</f>
        <v/>
      </c>
      <c r="J48" s="4" t="str">
        <f>IFERROR(IF(FIND("3",$D48),J$1,""),"")</f>
        <v/>
      </c>
      <c r="K48" s="4" t="str">
        <f>IFERROR(IF(FIND("4",$D48),K$1,""),"")</f>
        <v/>
      </c>
      <c r="L48" s="4" t="str">
        <f>IFERROR(IF(FIND("5",$D48),L$1,""),"")</f>
        <v>Fri</v>
      </c>
      <c r="M48" s="4" t="e">
        <f t="array" aca="1" ref="M48" ca="1">_xludf.CONCAT("every ",_xludf.TEXTJOIN(", ", TRUE, IF(H48:L48&lt;&gt;"", H48:L48, "")))</f>
        <v>#NAME?</v>
      </c>
    </row>
    <row r="49" spans="1:13" ht="15.75" customHeight="1" x14ac:dyDescent="0.25">
      <c r="A49" s="2" t="s">
        <v>23</v>
      </c>
      <c r="B49" s="2" t="s">
        <v>539</v>
      </c>
      <c r="C49" s="5" t="s">
        <v>36</v>
      </c>
      <c r="D49" s="3">
        <v>3</v>
      </c>
      <c r="E49" s="2" t="s">
        <v>42</v>
      </c>
      <c r="F49" s="4" t="str">
        <f t="array" ref="F49">INDEX(Tasks!$B:$B, MATCH(C49, Tasks!$A:$A, 0))</f>
        <v>Empty trash being careful of leaking bags.</v>
      </c>
      <c r="G49" s="4" t="e">
        <f t="array" aca="1" ref="G49" ca="1">_xludf.LET(
  _xlpm.task,$C49,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49" s="4" t="str">
        <f>IFERROR(IF(FIND("1",$D49),H$1,""),"")</f>
        <v/>
      </c>
      <c r="I49" s="4" t="str">
        <f>IFERROR(IF(FIND("2",$D49),I$1,""),"")</f>
        <v/>
      </c>
      <c r="J49" s="4" t="str">
        <f>IFERROR(IF(FIND("3",$D49),J$1,""),"")</f>
        <v>Wed</v>
      </c>
      <c r="K49" s="4" t="str">
        <f>IFERROR(IF(FIND("4",$D49),K$1,""),"")</f>
        <v/>
      </c>
      <c r="L49" s="4" t="str">
        <f>IFERROR(IF(FIND("5",$D49),L$1,""),"")</f>
        <v/>
      </c>
      <c r="M49" s="4" t="e">
        <f t="array" aca="1" ref="M49" ca="1">_xludf.CONCAT("every ",_xludf.TEXTJOIN(", ", TRUE, IF(H49:L49&lt;&gt;"", H49:L49, "")))</f>
        <v>#NAME?</v>
      </c>
    </row>
    <row r="50" spans="1:13" ht="15.75" customHeight="1" x14ac:dyDescent="0.25">
      <c r="A50" s="2" t="s">
        <v>23</v>
      </c>
      <c r="B50" s="2" t="s">
        <v>539</v>
      </c>
      <c r="C50" s="2" t="s">
        <v>13</v>
      </c>
      <c r="D50" s="3">
        <v>5</v>
      </c>
      <c r="E50" s="2" t="s">
        <v>14</v>
      </c>
      <c r="F50" s="4" t="str">
        <f t="array" ref="F50">INDEX(Tasks!$B:$B, MATCH(C50, Tasks!$A:$A, 0))</f>
        <v>Use Backpack Vacuum.</v>
      </c>
      <c r="G50" s="4" t="e">
        <f t="array" aca="1" ref="G50" ca="1">_xludf.LET(
  _xlpm.task,$C50,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50" s="4" t="str">
        <f>IFERROR(IF(FIND("1",$D50),H$1,""),"")</f>
        <v/>
      </c>
      <c r="I50" s="4" t="str">
        <f>IFERROR(IF(FIND("2",$D50),I$1,""),"")</f>
        <v/>
      </c>
      <c r="J50" s="4" t="str">
        <f>IFERROR(IF(FIND("3",$D50),J$1,""),"")</f>
        <v/>
      </c>
      <c r="K50" s="4" t="str">
        <f>IFERROR(IF(FIND("4",$D50),K$1,""),"")</f>
        <v/>
      </c>
      <c r="L50" s="4" t="str">
        <f>IFERROR(IF(FIND("5",$D50),L$1,""),"")</f>
        <v>Fri</v>
      </c>
      <c r="M50" s="4" t="e">
        <f t="array" aca="1" ref="M50" ca="1">_xludf.CONCAT("every ",_xludf.TEXTJOIN(", ", TRUE, IF(H50:L50&lt;&gt;"", H50:L50, "")))</f>
        <v>#NAME?</v>
      </c>
    </row>
    <row r="51" spans="1:13" ht="15.75" customHeight="1" x14ac:dyDescent="0.25">
      <c r="A51" s="2" t="s">
        <v>23</v>
      </c>
      <c r="B51" s="2" t="s">
        <v>539</v>
      </c>
      <c r="C51" s="5" t="s">
        <v>22</v>
      </c>
      <c r="D51" s="3">
        <v>5</v>
      </c>
      <c r="E51" s="2" t="s">
        <v>14</v>
      </c>
      <c r="F51" s="4" t="str">
        <f t="array" ref="F51">INDEX(Tasks!$B:$B, MATCH(C51, Tasks!$A:$A, 0))</f>
        <v>Use handheld Vacuum from janitorial closet.</v>
      </c>
      <c r="G51" s="4" t="e">
        <f t="array" aca="1" ref="G51" ca="1">_xludf.LET(
  _xlpm.task,$C51,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51" s="4" t="str">
        <f>IFERROR(IF(FIND("1",$D51),H$1,""),"")</f>
        <v/>
      </c>
      <c r="I51" s="4" t="str">
        <f>IFERROR(IF(FIND("2",$D51),I$1,""),"")</f>
        <v/>
      </c>
      <c r="J51" s="4" t="str">
        <f>IFERROR(IF(FIND("3",$D51),J$1,""),"")</f>
        <v/>
      </c>
      <c r="K51" s="4" t="str">
        <f>IFERROR(IF(FIND("4",$D51),K$1,""),"")</f>
        <v/>
      </c>
      <c r="L51" s="4" t="str">
        <f>IFERROR(IF(FIND("5",$D51),L$1,""),"")</f>
        <v>Fri</v>
      </c>
      <c r="M51" s="4" t="e">
        <f t="array" aca="1" ref="M51" ca="1">_xludf.CONCAT("every ",_xludf.TEXTJOIN(", ", TRUE, IF(H51:L51&lt;&gt;"", H51:L51, "")))</f>
        <v>#NAME?</v>
      </c>
    </row>
    <row r="52" spans="1:13" ht="15.75" customHeight="1" x14ac:dyDescent="0.25">
      <c r="A52" s="2" t="s">
        <v>23</v>
      </c>
      <c r="B52" s="2" t="s">
        <v>539</v>
      </c>
      <c r="C52" s="5" t="s">
        <v>40</v>
      </c>
      <c r="D52" s="3">
        <v>3</v>
      </c>
      <c r="E52" s="2" t="s">
        <v>42</v>
      </c>
      <c r="F52" s="4" t="str">
        <f t="array" ref="F52">INDEX(Tasks!$B:$B, MATCH(C52, Tasks!$A:$A, 0))</f>
        <v>Spray 2in1 on a Paper Towel and wipe down surfaces.</v>
      </c>
      <c r="G52" s="4" t="e">
        <f t="array" aca="1" ref="G52" ca="1">_xludf.LET(
  _xlpm.task,$C52,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52" s="4" t="str">
        <f>IFERROR(IF(FIND("1",$D52),H$1,""),"")</f>
        <v/>
      </c>
      <c r="I52" s="4" t="str">
        <f>IFERROR(IF(FIND("2",$D52),I$1,""),"")</f>
        <v/>
      </c>
      <c r="J52" s="4" t="str">
        <f>IFERROR(IF(FIND("3",$D52),J$1,""),"")</f>
        <v>Wed</v>
      </c>
      <c r="K52" s="4" t="str">
        <f>IFERROR(IF(FIND("4",$D52),K$1,""),"")</f>
        <v/>
      </c>
      <c r="L52" s="4" t="str">
        <f>IFERROR(IF(FIND("5",$D52),L$1,""),"")</f>
        <v/>
      </c>
      <c r="M52" s="4" t="e">
        <f t="array" aca="1" ref="M52" ca="1">_xludf.CONCAT("every ",_xludf.TEXTJOIN(", ", TRUE, IF(H52:L52&lt;&gt;"", H52:L52, "")))</f>
        <v>#NAME?</v>
      </c>
    </row>
    <row r="53" spans="1:13" ht="15.75" customHeight="1" x14ac:dyDescent="0.25">
      <c r="A53" s="2" t="s">
        <v>23</v>
      </c>
      <c r="B53" s="2" t="s">
        <v>539</v>
      </c>
      <c r="C53" s="5" t="s">
        <v>25</v>
      </c>
      <c r="D53" s="3">
        <v>3</v>
      </c>
      <c r="E53" s="2" t="s">
        <v>42</v>
      </c>
      <c r="F53" s="4" t="str">
        <f t="array" ref="F53">INDEX(Tasks!$B:$B, MATCH(C53, Tasks!$A:$A, 0))</f>
        <v>Spray with 2in1, wipe with Paper Towel.</v>
      </c>
      <c r="G53" s="4" t="e">
        <f t="array" aca="1" ref="G53" ca="1">_xludf.LET(
  _xlpm.task,$C53,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53" s="4" t="str">
        <f>IFERROR(IF(FIND("1",$D53),H$1,""),"")</f>
        <v/>
      </c>
      <c r="I53" s="4" t="str">
        <f>IFERROR(IF(FIND("2",$D53),I$1,""),"")</f>
        <v/>
      </c>
      <c r="J53" s="4" t="str">
        <f>IFERROR(IF(FIND("3",$D53),J$1,""),"")</f>
        <v>Wed</v>
      </c>
      <c r="K53" s="4" t="str">
        <f>IFERROR(IF(FIND("4",$D53),K$1,""),"")</f>
        <v/>
      </c>
      <c r="L53" s="4" t="str">
        <f>IFERROR(IF(FIND("5",$D53),L$1,""),"")</f>
        <v/>
      </c>
      <c r="M53" s="4" t="e">
        <f t="array" aca="1" ref="M53" ca="1">_xludf.CONCAT("every ",_xludf.TEXTJOIN(", ", TRUE, IF(H53:L53&lt;&gt;"", H53:L53, "")))</f>
        <v>#NAME?</v>
      </c>
    </row>
    <row r="54" spans="1:13" ht="15.75" customHeight="1" x14ac:dyDescent="0.25">
      <c r="A54" s="2" t="s">
        <v>23</v>
      </c>
      <c r="B54" s="2" t="s">
        <v>540</v>
      </c>
      <c r="C54" s="5" t="s">
        <v>24</v>
      </c>
      <c r="D54" s="3">
        <v>1</v>
      </c>
      <c r="E54" s="2" t="s">
        <v>42</v>
      </c>
      <c r="F54" s="4" t="str">
        <f t="array" ref="F54">INDEX(Tasks!$B:$B, MATCH(C54, Tasks!$A:$A, 0))</f>
        <v>Empty trash being careful of leaking bags.</v>
      </c>
      <c r="G54" s="4" t="e">
        <f t="array" aca="1" ref="G54" ca="1">_xludf.LET(
  _xlpm.task,$C54,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54" s="4" t="str">
        <f>IFERROR(IF(FIND("1",$D54),H$1,""),"")</f>
        <v>Mon</v>
      </c>
      <c r="I54" s="4" t="str">
        <f>IFERROR(IF(FIND("2",$D54),I$1,""),"")</f>
        <v/>
      </c>
      <c r="J54" s="4" t="str">
        <f>IFERROR(IF(FIND("3",$D54),J$1,""),"")</f>
        <v/>
      </c>
      <c r="K54" s="4" t="str">
        <f>IFERROR(IF(FIND("4",$D54),K$1,""),"")</f>
        <v/>
      </c>
      <c r="L54" s="4" t="str">
        <f>IFERROR(IF(FIND("5",$D54),L$1,""),"")</f>
        <v/>
      </c>
      <c r="M54" s="4" t="e">
        <f t="array" aca="1" ref="M54" ca="1">_xludf.CONCAT("every ",_xludf.TEXTJOIN(", ", TRUE, IF(H54:L54&lt;&gt;"", H54:L54, "")))</f>
        <v>#NAME?</v>
      </c>
    </row>
    <row r="55" spans="1:13" ht="15.75" customHeight="1" x14ac:dyDescent="0.25">
      <c r="A55" s="2" t="s">
        <v>23</v>
      </c>
      <c r="B55" s="2" t="s">
        <v>540</v>
      </c>
      <c r="C55" s="2" t="s">
        <v>29</v>
      </c>
      <c r="D55" s="3">
        <v>2</v>
      </c>
      <c r="E55" s="2" t="s">
        <v>42</v>
      </c>
      <c r="F55" s="4" t="str">
        <f t="array" ref="F55">INDEX(Tasks!$B:$B, MATCH(C55, Tasks!$A:$A, 0))</f>
        <v>Mix 6oz floor cleaner and 3gal hot water in mop bucket.</v>
      </c>
      <c r="G55" s="4" t="e">
        <f t="array" aca="1" ref="G55" ca="1">_xludf.LET(
  _xlpm.task,$C55,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55" s="4" t="str">
        <f>IFERROR(IF(FIND("1",$D55),H$1,""),"")</f>
        <v/>
      </c>
      <c r="I55" s="4" t="str">
        <f>IFERROR(IF(FIND("2",$D55),I$1,""),"")</f>
        <v>Tue</v>
      </c>
      <c r="J55" s="4" t="str">
        <f>IFERROR(IF(FIND("3",$D55),J$1,""),"")</f>
        <v/>
      </c>
      <c r="K55" s="4" t="str">
        <f>IFERROR(IF(FIND("4",$D55),K$1,""),"")</f>
        <v/>
      </c>
      <c r="L55" s="4" t="str">
        <f>IFERROR(IF(FIND("5",$D55),L$1,""),"")</f>
        <v/>
      </c>
      <c r="M55" s="4" t="e">
        <f t="array" aca="1" ref="M55" ca="1">_xludf.CONCAT("every ",_xludf.TEXTJOIN(", ", TRUE, IF(H55:L55&lt;&gt;"", H55:L55, "")))</f>
        <v>#NAME?</v>
      </c>
    </row>
    <row r="56" spans="1:13" ht="15.75" customHeight="1" x14ac:dyDescent="0.25">
      <c r="A56" s="2" t="s">
        <v>23</v>
      </c>
      <c r="B56" s="2" t="s">
        <v>540</v>
      </c>
      <c r="C56" s="2" t="s">
        <v>17</v>
      </c>
      <c r="D56" s="3">
        <v>2</v>
      </c>
      <c r="E56" s="2" t="s">
        <v>42</v>
      </c>
      <c r="F56" s="4" t="str">
        <f t="array" ref="F56">INDEX(Tasks!$B:$B, MATCH(C56, Tasks!$A:$A, 0))</f>
        <v>Sweep Floors with broom.</v>
      </c>
      <c r="G56" s="4" t="e">
        <f t="array" aca="1" ref="G56" ca="1">_xludf.LET(
  _xlpm.task,$C56,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56" s="4" t="str">
        <f>IFERROR(IF(FIND("1",$D56),H$1,""),"")</f>
        <v/>
      </c>
      <c r="I56" s="4" t="str">
        <f>IFERROR(IF(FIND("2",$D56),I$1,""),"")</f>
        <v>Tue</v>
      </c>
      <c r="J56" s="4" t="str">
        <f>IFERROR(IF(FIND("3",$D56),J$1,""),"")</f>
        <v/>
      </c>
      <c r="K56" s="4" t="str">
        <f>IFERROR(IF(FIND("4",$D56),K$1,""),"")</f>
        <v/>
      </c>
      <c r="L56" s="4" t="str">
        <f>IFERROR(IF(FIND("5",$D56),L$1,""),"")</f>
        <v/>
      </c>
      <c r="M56" s="4" t="e">
        <f t="array" aca="1" ref="M56" ca="1">_xludf.CONCAT("every ",_xludf.TEXTJOIN(", ", TRUE, IF(H56:L56&lt;&gt;"", H56:L56, "")))</f>
        <v>#NAME?</v>
      </c>
    </row>
    <row r="57" spans="1:13" ht="15.75" customHeight="1" x14ac:dyDescent="0.25">
      <c r="A57" s="2" t="s">
        <v>23</v>
      </c>
      <c r="B57" s="2" t="s">
        <v>546</v>
      </c>
      <c r="C57" s="5" t="s">
        <v>31</v>
      </c>
      <c r="D57" s="3">
        <v>1</v>
      </c>
      <c r="E57" s="2" t="s">
        <v>14</v>
      </c>
      <c r="F57" s="4" t="str">
        <f t="array" ref="F57">INDEX(Tasks!$B:$B, MATCH(C57, Tasks!$A:$A, 0))</f>
        <v>Use Carpet Machine to clean Coffee Stains.</v>
      </c>
      <c r="G57" s="4" t="e">
        <f t="array" aca="1" ref="G57" ca="1">_xludf.LET(
  _xlpm.task,$C57,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57" s="4" t="str">
        <f>IFERROR(IF(FIND("1",$D57),H$1,""),"")</f>
        <v>Mon</v>
      </c>
      <c r="I57" s="4" t="str">
        <f>IFERROR(IF(FIND("2",$D57),I$1,""),"")</f>
        <v/>
      </c>
      <c r="J57" s="4" t="str">
        <f>IFERROR(IF(FIND("3",$D57),J$1,""),"")</f>
        <v/>
      </c>
      <c r="K57" s="4" t="str">
        <f>IFERROR(IF(FIND("4",$D57),K$1,""),"")</f>
        <v/>
      </c>
      <c r="L57" s="4" t="str">
        <f>IFERROR(IF(FIND("5",$D57),L$1,""),"")</f>
        <v/>
      </c>
      <c r="M57" s="4" t="e">
        <f t="array" aca="1" ref="M57" ca="1">_xludf.CONCAT("every ",_xludf.TEXTJOIN(", ", TRUE, IF(H57:L57&lt;&gt;"", H57:L57, "")))</f>
        <v>#NAME?</v>
      </c>
    </row>
    <row r="58" spans="1:13" ht="15.75" customHeight="1" x14ac:dyDescent="0.25">
      <c r="A58" s="2" t="s">
        <v>23</v>
      </c>
      <c r="B58" s="2" t="s">
        <v>546</v>
      </c>
      <c r="C58" s="5" t="s">
        <v>49</v>
      </c>
      <c r="D58" s="3">
        <v>4</v>
      </c>
      <c r="E58" s="2" t="s">
        <v>42</v>
      </c>
      <c r="F58" s="4" t="str">
        <f t="array" ref="F58">INDEX(Tasks!$B:$B, MATCH(C58, Tasks!$A:$A, 0))</f>
        <v>Spray 2in1 on fountain and wipe off with Paper Towels.</v>
      </c>
      <c r="G58" s="4" t="e">
        <f t="array" aca="1" ref="G58" ca="1">_xludf.LET(
  _xlpm.task,$C58,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58" s="4" t="str">
        <f>IFERROR(IF(FIND("1",$D58),H$1,""),"")</f>
        <v/>
      </c>
      <c r="I58" s="4" t="str">
        <f>IFERROR(IF(FIND("2",$D58),I$1,""),"")</f>
        <v/>
      </c>
      <c r="J58" s="4" t="str">
        <f>IFERROR(IF(FIND("3",$D58),J$1,""),"")</f>
        <v/>
      </c>
      <c r="K58" s="4" t="str">
        <f>IFERROR(IF(FIND("4",$D58),K$1,""),"")</f>
        <v>Thu</v>
      </c>
      <c r="L58" s="4" t="str">
        <f>IFERROR(IF(FIND("5",$D58),L$1,""),"")</f>
        <v/>
      </c>
      <c r="M58" s="4" t="e">
        <f t="array" aca="1" ref="M58" ca="1">_xludf.CONCAT("every ",_xludf.TEXTJOIN(", ", TRUE, IF(H58:L58&lt;&gt;"", H58:L58, "")))</f>
        <v>#NAME?</v>
      </c>
    </row>
    <row r="59" spans="1:13" ht="15.75" customHeight="1" x14ac:dyDescent="0.25">
      <c r="A59" s="2" t="s">
        <v>12</v>
      </c>
      <c r="B59" s="2" t="s">
        <v>546</v>
      </c>
      <c r="C59" s="2" t="s">
        <v>13</v>
      </c>
      <c r="D59" s="3">
        <v>12345</v>
      </c>
      <c r="E59" s="2" t="s">
        <v>14</v>
      </c>
      <c r="F59" s="4" t="str">
        <f t="array" ref="F59">INDEX(Tasks!$B:$B, MATCH(C59, Tasks!$A:$A, 0))</f>
        <v>Use Backpack Vacuum.</v>
      </c>
      <c r="G59" s="4" t="e">
        <f t="array" aca="1" ref="G59" ca="1">_xludf.LET(
  _xlpm.task,$C59,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59" s="4" t="str">
        <f>IFERROR(IF(FIND("1",$D59),H$1,""),"")</f>
        <v>Mon</v>
      </c>
      <c r="I59" s="4" t="str">
        <f>IFERROR(IF(FIND("2",$D59),I$1,""),"")</f>
        <v>Tue</v>
      </c>
      <c r="J59" s="4" t="str">
        <f>IFERROR(IF(FIND("3",$D59),J$1,""),"")</f>
        <v>Wed</v>
      </c>
      <c r="K59" s="4" t="str">
        <f>IFERROR(IF(FIND("4",$D59),K$1,""),"")</f>
        <v>Thu</v>
      </c>
      <c r="L59" s="4" t="str">
        <f>IFERROR(IF(FIND("5",$D59),L$1,""),"")</f>
        <v>Fri</v>
      </c>
      <c r="M59" s="4" t="e">
        <f t="array" aca="1" ref="M59" ca="1">_xludf.CONCAT("every ",_xludf.TEXTJOIN(", ", TRUE, IF(H59:L59&lt;&gt;"", H59:L59, "")))</f>
        <v>#NAME?</v>
      </c>
    </row>
    <row r="60" spans="1:13" ht="15.75" customHeight="1" x14ac:dyDescent="0.25">
      <c r="A60" s="2" t="s">
        <v>23</v>
      </c>
      <c r="B60" s="2" t="s">
        <v>546</v>
      </c>
      <c r="C60" s="2" t="s">
        <v>13</v>
      </c>
      <c r="D60" s="3">
        <v>4</v>
      </c>
      <c r="E60" s="3" t="s">
        <v>42</v>
      </c>
      <c r="F60" s="4" t="str">
        <f t="array" ref="F60">INDEX(Tasks!$B:$B, MATCH(C60, Tasks!$A:$A, 0))</f>
        <v>Use Backpack Vacuum.</v>
      </c>
      <c r="G60" s="4" t="e">
        <f t="array" aca="1" ref="G60" ca="1">_xludf.LET(
  _xlpm.task,$C60,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60" s="4" t="str">
        <f>IFERROR(IF(FIND("1",$D60),H$1,""),"")</f>
        <v/>
      </c>
      <c r="I60" s="4" t="str">
        <f>IFERROR(IF(FIND("2",$D60),I$1,""),"")</f>
        <v/>
      </c>
      <c r="J60" s="4" t="str">
        <f>IFERROR(IF(FIND("3",$D60),J$1,""),"")</f>
        <v/>
      </c>
      <c r="K60" s="4" t="str">
        <f>IFERROR(IF(FIND("4",$D60),K$1,""),"")</f>
        <v>Thu</v>
      </c>
      <c r="L60" s="4" t="str">
        <f>IFERROR(IF(FIND("5",$D60),L$1,""),"")</f>
        <v/>
      </c>
      <c r="M60" s="4" t="e">
        <f t="array" aca="1" ref="M60" ca="1">_xludf.CONCAT("every ",_xludf.TEXTJOIN(", ", TRUE, IF(H60:L60&lt;&gt;"", H60:L60, "")))</f>
        <v>#NAME?</v>
      </c>
    </row>
    <row r="61" spans="1:13" ht="15.75" customHeight="1" x14ac:dyDescent="0.25">
      <c r="A61" s="2" t="s">
        <v>23</v>
      </c>
      <c r="B61" s="2" t="s">
        <v>547</v>
      </c>
      <c r="C61" s="5" t="s">
        <v>31</v>
      </c>
      <c r="D61" s="3">
        <v>1</v>
      </c>
      <c r="E61" s="2" t="s">
        <v>14</v>
      </c>
      <c r="F61" s="4" t="str">
        <f t="array" ref="F61">INDEX(Tasks!$B:$B, MATCH(C61, Tasks!$A:$A, 0))</f>
        <v>Use Carpet Machine to clean Coffee Stains.</v>
      </c>
      <c r="G61" s="4" t="e">
        <f t="array" aca="1" ref="G61" ca="1">_xludf.LET(
  _xlpm.task,$C61,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61" s="4" t="str">
        <f>IFERROR(IF(FIND("1",$D61),H$1,""),"")</f>
        <v>Mon</v>
      </c>
      <c r="I61" s="4" t="str">
        <f>IFERROR(IF(FIND("2",$D61),I$1,""),"")</f>
        <v/>
      </c>
      <c r="J61" s="4" t="str">
        <f>IFERROR(IF(FIND("3",$D61),J$1,""),"")</f>
        <v/>
      </c>
      <c r="K61" s="4" t="str">
        <f>IFERROR(IF(FIND("4",$D61),K$1,""),"")</f>
        <v/>
      </c>
      <c r="L61" s="4" t="str">
        <f>IFERROR(IF(FIND("5",$D61),L$1,""),"")</f>
        <v/>
      </c>
      <c r="M61" s="4" t="e">
        <f t="array" aca="1" ref="M61" ca="1">_xludf.CONCAT("every ",_xludf.TEXTJOIN(", ", TRUE, IF(H61:L61&lt;&gt;"", H61:L61, "")))</f>
        <v>#NAME?</v>
      </c>
    </row>
    <row r="62" spans="1:13" ht="15.75" customHeight="1" x14ac:dyDescent="0.25">
      <c r="A62" s="2" t="s">
        <v>23</v>
      </c>
      <c r="B62" s="2" t="s">
        <v>547</v>
      </c>
      <c r="C62" s="5" t="s">
        <v>49</v>
      </c>
      <c r="D62" s="3">
        <v>4</v>
      </c>
      <c r="E62" s="2" t="s">
        <v>42</v>
      </c>
      <c r="F62" s="4" t="str">
        <f t="array" ref="F62">INDEX(Tasks!$B:$B, MATCH(C62, Tasks!$A:$A, 0))</f>
        <v>Spray 2in1 on fountain and wipe off with Paper Towels.</v>
      </c>
      <c r="G62" s="4" t="e">
        <f t="array" aca="1" ref="G62" ca="1">_xludf.LET(
  _xlpm.task,$C62,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62" s="4" t="str">
        <f>IFERROR(IF(FIND("1",$D62),H$1,""),"")</f>
        <v/>
      </c>
      <c r="I62" s="4" t="str">
        <f>IFERROR(IF(FIND("2",$D62),I$1,""),"")</f>
        <v/>
      </c>
      <c r="J62" s="4" t="str">
        <f>IFERROR(IF(FIND("3",$D62),J$1,""),"")</f>
        <v/>
      </c>
      <c r="K62" s="4" t="str">
        <f>IFERROR(IF(FIND("4",$D62),K$1,""),"")</f>
        <v>Thu</v>
      </c>
      <c r="L62" s="4" t="str">
        <f>IFERROR(IF(FIND("5",$D62),L$1,""),"")</f>
        <v/>
      </c>
      <c r="M62" s="4" t="e">
        <f t="array" aca="1" ref="M62" ca="1">_xludf.CONCAT("every ",_xludf.TEXTJOIN(", ", TRUE, IF(H62:L62&lt;&gt;"", H62:L62, "")))</f>
        <v>#NAME?</v>
      </c>
    </row>
    <row r="63" spans="1:13" ht="15.75" customHeight="1" x14ac:dyDescent="0.25">
      <c r="A63" s="2" t="s">
        <v>23</v>
      </c>
      <c r="B63" s="2" t="s">
        <v>547</v>
      </c>
      <c r="C63" s="2" t="s">
        <v>13</v>
      </c>
      <c r="D63" s="3">
        <v>4</v>
      </c>
      <c r="E63" s="3" t="s">
        <v>42</v>
      </c>
      <c r="F63" s="4" t="str">
        <f t="array" ref="F63">INDEX(Tasks!$B:$B, MATCH(C63, Tasks!$A:$A, 0))</f>
        <v>Use Backpack Vacuum.</v>
      </c>
      <c r="G63" s="4" t="e">
        <f t="array" aca="1" ref="G63" ca="1">_xludf.LET(
  _xlpm.task,$C63,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63" s="4" t="str">
        <f>IFERROR(IF(FIND("1",$D63),H$1,""),"")</f>
        <v/>
      </c>
      <c r="I63" s="4" t="str">
        <f>IFERROR(IF(FIND("2",$D63),I$1,""),"")</f>
        <v/>
      </c>
      <c r="J63" s="4" t="str">
        <f>IFERROR(IF(FIND("3",$D63),J$1,""),"")</f>
        <v/>
      </c>
      <c r="K63" s="4" t="str">
        <f>IFERROR(IF(FIND("4",$D63),K$1,""),"")</f>
        <v>Thu</v>
      </c>
      <c r="L63" s="4" t="str">
        <f>IFERROR(IF(FIND("5",$D63),L$1,""),"")</f>
        <v/>
      </c>
      <c r="M63" s="4" t="e">
        <f t="array" aca="1" ref="M63" ca="1">_xludf.CONCAT("every ",_xludf.TEXTJOIN(", ", TRUE, IF(H63:L63&lt;&gt;"", H63:L63, "")))</f>
        <v>#NAME?</v>
      </c>
    </row>
    <row r="64" spans="1:13" ht="15.75" customHeight="1" x14ac:dyDescent="0.25">
      <c r="A64" s="2" t="s">
        <v>12</v>
      </c>
      <c r="B64" s="2" t="s">
        <v>547</v>
      </c>
      <c r="C64" s="2" t="s">
        <v>13</v>
      </c>
      <c r="D64" s="3">
        <v>12345</v>
      </c>
      <c r="E64" s="2" t="s">
        <v>14</v>
      </c>
      <c r="F64" s="4" t="str">
        <f t="array" ref="F64">INDEX(Tasks!$B:$B, MATCH(C64, Tasks!$A:$A, 0))</f>
        <v>Use Backpack Vacuum.</v>
      </c>
      <c r="G64" s="4" t="e">
        <f t="array" aca="1" ref="G64" ca="1">_xludf.LET(
  _xlpm.task,$C64,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64" s="4" t="str">
        <f>IFERROR(IF(FIND("1",$D64),H$1,""),"")</f>
        <v>Mon</v>
      </c>
      <c r="I64" s="4" t="str">
        <f>IFERROR(IF(FIND("2",$D64),I$1,""),"")</f>
        <v>Tue</v>
      </c>
      <c r="J64" s="4" t="str">
        <f>IFERROR(IF(FIND("3",$D64),J$1,""),"")</f>
        <v>Wed</v>
      </c>
      <c r="K64" s="4" t="str">
        <f>IFERROR(IF(FIND("4",$D64),K$1,""),"")</f>
        <v>Thu</v>
      </c>
      <c r="L64" s="4" t="str">
        <f>IFERROR(IF(FIND("5",$D64),L$1,""),"")</f>
        <v>Fri</v>
      </c>
      <c r="M64" s="4" t="e">
        <f t="array" aca="1" ref="M64" ca="1">_xludf.CONCAT("every ",_xludf.TEXTJOIN(", ", TRUE, IF(H64:L64&lt;&gt;"", H64:L64, "")))</f>
        <v>#NAME?</v>
      </c>
    </row>
    <row r="65" spans="1:13" ht="15.75" customHeight="1" x14ac:dyDescent="0.25">
      <c r="A65" s="2" t="s">
        <v>23</v>
      </c>
      <c r="B65" s="2" t="s">
        <v>548</v>
      </c>
      <c r="C65" s="5" t="s">
        <v>31</v>
      </c>
      <c r="D65" s="3">
        <v>1</v>
      </c>
      <c r="E65" s="2" t="s">
        <v>14</v>
      </c>
      <c r="F65" s="4" t="str">
        <f t="array" ref="F65">INDEX(Tasks!$B:$B, MATCH(C65, Tasks!$A:$A, 0))</f>
        <v>Use Carpet Machine to clean Coffee Stains.</v>
      </c>
      <c r="G65" s="4" t="e">
        <f t="array" aca="1" ref="G65" ca="1">_xludf.LET(
  _xlpm.task,$C65,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65" s="4" t="str">
        <f>IFERROR(IF(FIND("1",$D65),H$1,""),"")</f>
        <v>Mon</v>
      </c>
      <c r="I65" s="4" t="str">
        <f>IFERROR(IF(FIND("2",$D65),I$1,""),"")</f>
        <v/>
      </c>
      <c r="J65" s="4" t="str">
        <f>IFERROR(IF(FIND("3",$D65),J$1,""),"")</f>
        <v/>
      </c>
      <c r="K65" s="4" t="str">
        <f>IFERROR(IF(FIND("4",$D65),K$1,""),"")</f>
        <v/>
      </c>
      <c r="L65" s="4" t="str">
        <f>IFERROR(IF(FIND("5",$D65),L$1,""),"")</f>
        <v/>
      </c>
      <c r="M65" s="4" t="e">
        <f t="array" aca="1" ref="M65" ca="1">_xludf.CONCAT("every ",_xludf.TEXTJOIN(", ", TRUE, IF(H65:L65&lt;&gt;"", H65:L65, "")))</f>
        <v>#NAME?</v>
      </c>
    </row>
    <row r="66" spans="1:13" ht="15.75" customHeight="1" x14ac:dyDescent="0.25">
      <c r="A66" s="2" t="s">
        <v>23</v>
      </c>
      <c r="B66" s="2" t="s">
        <v>548</v>
      </c>
      <c r="C66" s="5" t="s">
        <v>49</v>
      </c>
      <c r="D66" s="3">
        <v>4</v>
      </c>
      <c r="E66" s="2" t="s">
        <v>42</v>
      </c>
      <c r="F66" s="4" t="str">
        <f t="array" ref="F66">INDEX(Tasks!$B:$B, MATCH(C66, Tasks!$A:$A, 0))</f>
        <v>Spray 2in1 on fountain and wipe off with Paper Towels.</v>
      </c>
      <c r="G66" s="4" t="e">
        <f t="array" aca="1" ref="G66" ca="1">_xludf.LET(
  _xlpm.task,$C66,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66" s="4" t="str">
        <f>IFERROR(IF(FIND("1",$D66),H$1,""),"")</f>
        <v/>
      </c>
      <c r="I66" s="4" t="str">
        <f>IFERROR(IF(FIND("2",$D66),I$1,""),"")</f>
        <v/>
      </c>
      <c r="J66" s="4" t="str">
        <f>IFERROR(IF(FIND("3",$D66),J$1,""),"")</f>
        <v/>
      </c>
      <c r="K66" s="4" t="str">
        <f>IFERROR(IF(FIND("4",$D66),K$1,""),"")</f>
        <v>Thu</v>
      </c>
      <c r="L66" s="4" t="str">
        <f>IFERROR(IF(FIND("5",$D66),L$1,""),"")</f>
        <v/>
      </c>
      <c r="M66" s="4" t="e">
        <f t="array" aca="1" ref="M66" ca="1">_xludf.CONCAT("every ",_xludf.TEXTJOIN(", ", TRUE, IF(H66:L66&lt;&gt;"", H66:L66, "")))</f>
        <v>#NAME?</v>
      </c>
    </row>
    <row r="67" spans="1:13" ht="15.75" customHeight="1" x14ac:dyDescent="0.25">
      <c r="A67" s="2" t="s">
        <v>23</v>
      </c>
      <c r="B67" s="2" t="s">
        <v>548</v>
      </c>
      <c r="C67" s="2" t="s">
        <v>13</v>
      </c>
      <c r="D67" s="3">
        <v>4</v>
      </c>
      <c r="E67" s="3" t="s">
        <v>42</v>
      </c>
      <c r="F67" s="4" t="str">
        <f t="array" ref="F67">INDEX(Tasks!$B:$B, MATCH(C67, Tasks!$A:$A, 0))</f>
        <v>Use Backpack Vacuum.</v>
      </c>
      <c r="G67" s="4" t="e">
        <f t="array" aca="1" ref="G67" ca="1">_xludf.LET(
  _xlpm.task,$C67,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67" s="4" t="str">
        <f>IFERROR(IF(FIND("1",$D67),H$1,""),"")</f>
        <v/>
      </c>
      <c r="I67" s="4" t="str">
        <f>IFERROR(IF(FIND("2",$D67),I$1,""),"")</f>
        <v/>
      </c>
      <c r="J67" s="4" t="str">
        <f>IFERROR(IF(FIND("3",$D67),J$1,""),"")</f>
        <v/>
      </c>
      <c r="K67" s="4" t="str">
        <f>IFERROR(IF(FIND("4",$D67),K$1,""),"")</f>
        <v>Thu</v>
      </c>
      <c r="L67" s="4" t="str">
        <f>IFERROR(IF(FIND("5",$D67),L$1,""),"")</f>
        <v/>
      </c>
      <c r="M67" s="4" t="e">
        <f t="array" aca="1" ref="M67" ca="1">_xludf.CONCAT("every ",_xludf.TEXTJOIN(", ", TRUE, IF(H67:L67&lt;&gt;"", H67:L67, "")))</f>
        <v>#NAME?</v>
      </c>
    </row>
    <row r="68" spans="1:13" ht="15.75" customHeight="1" x14ac:dyDescent="0.25">
      <c r="A68" s="2" t="s">
        <v>23</v>
      </c>
      <c r="B68" s="2" t="s">
        <v>541</v>
      </c>
      <c r="C68" s="5" t="s">
        <v>36</v>
      </c>
      <c r="D68" s="3">
        <v>2</v>
      </c>
      <c r="E68" s="2" t="s">
        <v>42</v>
      </c>
      <c r="F68" s="4" t="str">
        <f t="array" ref="F68">INDEX(Tasks!$B:$B, MATCH(C68, Tasks!$A:$A, 0))</f>
        <v>Empty trash being careful of leaking bags.</v>
      </c>
      <c r="G68" s="4" t="e">
        <f t="array" aca="1" ref="G68" ca="1">_xludf.LET(
  _xlpm.task,$C68,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68" s="4" t="str">
        <f>IFERROR(IF(FIND("1",$D68),H$1,""),"")</f>
        <v/>
      </c>
      <c r="I68" s="4" t="str">
        <f>IFERROR(IF(FIND("2",$D68),I$1,""),"")</f>
        <v>Tue</v>
      </c>
      <c r="J68" s="4" t="str">
        <f>IFERROR(IF(FIND("3",$D68),J$1,""),"")</f>
        <v/>
      </c>
      <c r="K68" s="4" t="str">
        <f>IFERROR(IF(FIND("4",$D68),K$1,""),"")</f>
        <v/>
      </c>
      <c r="L68" s="4" t="str">
        <f>IFERROR(IF(FIND("5",$D68),L$1,""),"")</f>
        <v/>
      </c>
      <c r="M68" s="4" t="e">
        <f t="array" aca="1" ref="M68" ca="1">_xludf.CONCAT("every ",_xludf.TEXTJOIN(", ", TRUE, IF(H68:L68&lt;&gt;"", H68:L68, "")))</f>
        <v>#NAME?</v>
      </c>
    </row>
    <row r="69" spans="1:13" ht="15.75" customHeight="1" x14ac:dyDescent="0.25">
      <c r="A69" s="2" t="s">
        <v>23</v>
      </c>
      <c r="B69" s="2" t="s">
        <v>541</v>
      </c>
      <c r="C69" s="2" t="s">
        <v>13</v>
      </c>
      <c r="D69" s="3">
        <v>2</v>
      </c>
      <c r="E69" s="3" t="s">
        <v>42</v>
      </c>
      <c r="F69" s="4" t="str">
        <f t="array" ref="F69">INDEX(Tasks!$B:$B, MATCH(C69, Tasks!$A:$A, 0))</f>
        <v>Use Backpack Vacuum.</v>
      </c>
      <c r="G69" s="4" t="e">
        <f t="array" aca="1" ref="G69" ca="1">_xludf.LET(
  _xlpm.task,$C69,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69" s="4" t="str">
        <f>IFERROR(IF(FIND("1",$D69),H$1,""),"")</f>
        <v/>
      </c>
      <c r="I69" s="4" t="str">
        <f>IFERROR(IF(FIND("2",$D69),I$1,""),"")</f>
        <v>Tue</v>
      </c>
      <c r="J69" s="4" t="str">
        <f>IFERROR(IF(FIND("3",$D69),J$1,""),"")</f>
        <v/>
      </c>
      <c r="K69" s="4" t="str">
        <f>IFERROR(IF(FIND("4",$D69),K$1,""),"")</f>
        <v/>
      </c>
      <c r="L69" s="4" t="str">
        <f>IFERROR(IF(FIND("5",$D69),L$1,""),"")</f>
        <v/>
      </c>
      <c r="M69" s="4" t="e">
        <f t="array" aca="1" ref="M69" ca="1">_xludf.CONCAT("every ",_xludf.TEXTJOIN(", ", TRUE, IF(H69:L69&lt;&gt;"", H69:L69, "")))</f>
        <v>#NAME?</v>
      </c>
    </row>
    <row r="70" spans="1:13" ht="15.75" customHeight="1" x14ac:dyDescent="0.25">
      <c r="A70" s="2" t="s">
        <v>23</v>
      </c>
      <c r="B70" s="2" t="s">
        <v>541</v>
      </c>
      <c r="C70" s="5" t="s">
        <v>25</v>
      </c>
      <c r="D70" s="3">
        <v>2</v>
      </c>
      <c r="E70" s="2" t="s">
        <v>42</v>
      </c>
      <c r="F70" s="4" t="str">
        <f t="array" ref="F70">INDEX(Tasks!$B:$B, MATCH(C70, Tasks!$A:$A, 0))</f>
        <v>Spray with 2in1, wipe with Paper Towel.</v>
      </c>
      <c r="G70" s="4" t="e">
        <f t="array" aca="1" ref="G70" ca="1">_xludf.LET(
  _xlpm.task,$C70,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70" s="4" t="str">
        <f>IFERROR(IF(FIND("1",$D70),H$1,""),"")</f>
        <v/>
      </c>
      <c r="I70" s="4" t="str">
        <f>IFERROR(IF(FIND("2",$D70),I$1,""),"")</f>
        <v>Tue</v>
      </c>
      <c r="J70" s="4" t="str">
        <f>IFERROR(IF(FIND("3",$D70),J$1,""),"")</f>
        <v/>
      </c>
      <c r="K70" s="4" t="str">
        <f>IFERROR(IF(FIND("4",$D70),K$1,""),"")</f>
        <v/>
      </c>
      <c r="L70" s="4" t="str">
        <f>IFERROR(IF(FIND("5",$D70),L$1,""),"")</f>
        <v/>
      </c>
      <c r="M70" s="4" t="e">
        <f t="array" aca="1" ref="M70" ca="1">_xludf.CONCAT("every ",_xludf.TEXTJOIN(", ", TRUE, IF(H70:L70&lt;&gt;"", H70:L70, "")))</f>
        <v>#NAME?</v>
      </c>
    </row>
    <row r="71" spans="1:13" ht="15.75" customHeight="1" x14ac:dyDescent="0.25">
      <c r="A71" s="2" t="s">
        <v>23</v>
      </c>
      <c r="B71" s="2" t="s">
        <v>46</v>
      </c>
      <c r="C71" s="2" t="s">
        <v>13</v>
      </c>
      <c r="D71" s="3">
        <v>4</v>
      </c>
      <c r="E71" s="3" t="s">
        <v>42</v>
      </c>
      <c r="F71" s="4" t="str">
        <f t="array" ref="F71">INDEX(Tasks!$B:$B, MATCH(C71, Tasks!$A:$A, 0))</f>
        <v>Use Backpack Vacuum.</v>
      </c>
      <c r="G71" s="4" t="e">
        <f t="array" aca="1" ref="G71" ca="1">_xludf.LET(
  _xlpm.task,$C71,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71" s="4" t="str">
        <f>IFERROR(IF(FIND("1",$D71),H$1,""),"")</f>
        <v/>
      </c>
      <c r="I71" s="4" t="str">
        <f>IFERROR(IF(FIND("2",$D71),I$1,""),"")</f>
        <v/>
      </c>
      <c r="J71" s="4" t="str">
        <f>IFERROR(IF(FIND("3",$D71),J$1,""),"")</f>
        <v/>
      </c>
      <c r="K71" s="4" t="str">
        <f>IFERROR(IF(FIND("4",$D71),K$1,""),"")</f>
        <v>Thu</v>
      </c>
      <c r="L71" s="4" t="str">
        <f>IFERROR(IF(FIND("5",$D71),L$1,""),"")</f>
        <v/>
      </c>
      <c r="M71" s="4" t="e">
        <f t="array" aca="1" ref="M71" ca="1">_xludf.CONCAT("every ",_xludf.TEXTJOIN(", ", TRUE, IF(H71:L71&lt;&gt;"", H71:L71, "")))</f>
        <v>#NAME?</v>
      </c>
    </row>
    <row r="72" spans="1:13" ht="15.75" customHeight="1" x14ac:dyDescent="0.25">
      <c r="A72" s="2" t="s">
        <v>23</v>
      </c>
      <c r="B72" s="2" t="s">
        <v>544</v>
      </c>
      <c r="C72" s="2" t="s">
        <v>47</v>
      </c>
      <c r="D72" s="3">
        <v>3</v>
      </c>
      <c r="E72" s="3" t="s">
        <v>42</v>
      </c>
      <c r="F72" s="4" t="str">
        <f t="array" ref="F72">INDEX(Tasks!$B:$B, MATCH(C72, Tasks!$A:$A, 0))</f>
        <v>Spray 2in1 on a Paper Towel and wipe down surfaces.</v>
      </c>
      <c r="G72" s="4" t="e">
        <f t="array" aca="1" ref="G72" ca="1">_xludf.LET(
  _xlpm.task,$C72,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72" s="4" t="str">
        <f>IFERROR(IF(FIND("1",$D72),H$1,""),"")</f>
        <v/>
      </c>
      <c r="I72" s="4" t="str">
        <f>IFERROR(IF(FIND("2",$D72),I$1,""),"")</f>
        <v/>
      </c>
      <c r="J72" s="4" t="str">
        <f>IFERROR(IF(FIND("3",$D72),J$1,""),"")</f>
        <v>Wed</v>
      </c>
      <c r="K72" s="4" t="str">
        <f>IFERROR(IF(FIND("4",$D72),K$1,""),"")</f>
        <v/>
      </c>
      <c r="L72" s="4" t="str">
        <f>IFERROR(IF(FIND("5",$D72),L$1,""),"")</f>
        <v/>
      </c>
      <c r="M72" s="4" t="e">
        <f t="array" aca="1" ref="M72" ca="1">_xludf.CONCAT("every ",_xludf.TEXTJOIN(", ", TRUE, IF(H72:L72&lt;&gt;"", H72:L72, "")))</f>
        <v>#NAME?</v>
      </c>
    </row>
    <row r="73" spans="1:13" ht="15.75" customHeight="1" x14ac:dyDescent="0.25">
      <c r="A73" s="2" t="s">
        <v>23</v>
      </c>
      <c r="B73" s="2" t="s">
        <v>544</v>
      </c>
      <c r="C73" s="5" t="s">
        <v>48</v>
      </c>
      <c r="D73" s="3">
        <v>1</v>
      </c>
      <c r="E73" s="2" t="s">
        <v>42</v>
      </c>
      <c r="F73" s="4" t="str">
        <f t="array" ref="F73">INDEX(Tasks!$B:$B, MATCH(C73, Tasks!$A:$A, 0))</f>
        <v>Empty from below.</v>
      </c>
      <c r="G73" s="4" t="e">
        <f t="array" aca="1" ref="G73" ca="1">_xludf.LET(
  _xlpm.task,$C73,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73" s="4" t="str">
        <f>IFERROR(IF(FIND("1",$D73),H$1,""),"")</f>
        <v>Mon</v>
      </c>
      <c r="I73" s="4" t="str">
        <f>IFERROR(IF(FIND("2",$D73),I$1,""),"")</f>
        <v/>
      </c>
      <c r="J73" s="4" t="str">
        <f>IFERROR(IF(FIND("3",$D73),J$1,""),"")</f>
        <v/>
      </c>
      <c r="K73" s="4" t="str">
        <f>IFERROR(IF(FIND("4",$D73),K$1,""),"")</f>
        <v/>
      </c>
      <c r="L73" s="4" t="str">
        <f>IFERROR(IF(FIND("5",$D73),L$1,""),"")</f>
        <v/>
      </c>
      <c r="M73" s="4" t="e">
        <f t="array" aca="1" ref="M73" ca="1">_xludf.CONCAT("every ",_xludf.TEXTJOIN(", ", TRUE, IF(H73:L73&lt;&gt;"", H73:L73, "")))</f>
        <v>#NAME?</v>
      </c>
    </row>
    <row r="74" spans="1:13" ht="15.75" customHeight="1" x14ac:dyDescent="0.25">
      <c r="A74" s="2" t="s">
        <v>23</v>
      </c>
      <c r="B74" s="2" t="s">
        <v>544</v>
      </c>
      <c r="C74" s="5" t="s">
        <v>36</v>
      </c>
      <c r="D74" s="3">
        <v>3</v>
      </c>
      <c r="E74" s="2" t="s">
        <v>42</v>
      </c>
      <c r="F74" s="4" t="str">
        <f t="array" ref="F74">INDEX(Tasks!$B:$B, MATCH(C74, Tasks!$A:$A, 0))</f>
        <v>Empty trash being careful of leaking bags.</v>
      </c>
      <c r="G74" s="4" t="e">
        <f t="array" aca="1" ref="G74" ca="1">_xludf.LET(
  _xlpm.task,$C74,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74" s="4" t="str">
        <f>IFERROR(IF(FIND("1",$D74),H$1,""),"")</f>
        <v/>
      </c>
      <c r="I74" s="4" t="str">
        <f>IFERROR(IF(FIND("2",$D74),I$1,""),"")</f>
        <v/>
      </c>
      <c r="J74" s="4" t="str">
        <f>IFERROR(IF(FIND("3",$D74),J$1,""),"")</f>
        <v>Wed</v>
      </c>
      <c r="K74" s="4" t="str">
        <f>IFERROR(IF(FIND("4",$D74),K$1,""),"")</f>
        <v/>
      </c>
      <c r="L74" s="4" t="str">
        <f>IFERROR(IF(FIND("5",$D74),L$1,""),"")</f>
        <v/>
      </c>
      <c r="M74" s="4" t="e">
        <f t="array" aca="1" ref="M74" ca="1">_xludf.CONCAT("every ",_xludf.TEXTJOIN(", ", TRUE, IF(H74:L74&lt;&gt;"", H74:L74, "")))</f>
        <v>#NAME?</v>
      </c>
    </row>
    <row r="75" spans="1:13" ht="15.75" customHeight="1" x14ac:dyDescent="0.25">
      <c r="A75" s="2" t="s">
        <v>23</v>
      </c>
      <c r="B75" s="2" t="s">
        <v>544</v>
      </c>
      <c r="C75" s="2" t="s">
        <v>13</v>
      </c>
      <c r="D75" s="3">
        <v>3</v>
      </c>
      <c r="E75" s="3" t="s">
        <v>42</v>
      </c>
      <c r="F75" s="4" t="str">
        <f t="array" ref="F75">INDEX(Tasks!$B:$B, MATCH(C75, Tasks!$A:$A, 0))</f>
        <v>Use Backpack Vacuum.</v>
      </c>
      <c r="G75" s="4" t="e">
        <f t="array" aca="1" ref="G75" ca="1">_xludf.LET(
  _xlpm.task,$C75,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75" s="4" t="str">
        <f>IFERROR(IF(FIND("1",$D75),H$1,""),"")</f>
        <v/>
      </c>
      <c r="I75" s="4" t="str">
        <f>IFERROR(IF(FIND("2",$D75),I$1,""),"")</f>
        <v/>
      </c>
      <c r="J75" s="4" t="str">
        <f>IFERROR(IF(FIND("3",$D75),J$1,""),"")</f>
        <v>Wed</v>
      </c>
      <c r="K75" s="4" t="str">
        <f>IFERROR(IF(FIND("4",$D75),K$1,""),"")</f>
        <v/>
      </c>
      <c r="L75" s="4" t="str">
        <f>IFERROR(IF(FIND("5",$D75),L$1,""),"")</f>
        <v/>
      </c>
      <c r="M75" s="4" t="e">
        <f t="array" aca="1" ref="M75" ca="1">_xludf.CONCAT("every ",_xludf.TEXTJOIN(", ", TRUE, IF(H75:L75&lt;&gt;"", H75:L75, "")))</f>
        <v>#NAME?</v>
      </c>
    </row>
    <row r="76" spans="1:13" ht="15.75" customHeight="1" x14ac:dyDescent="0.25">
      <c r="A76" s="2" t="s">
        <v>12</v>
      </c>
      <c r="B76" s="2" t="s">
        <v>58</v>
      </c>
      <c r="C76" s="5" t="s">
        <v>24</v>
      </c>
      <c r="D76" s="3">
        <v>4</v>
      </c>
      <c r="E76" s="2" t="s">
        <v>42</v>
      </c>
      <c r="F76" s="4" t="str">
        <f t="array" ref="F76">INDEX(Tasks!$B:$B, MATCH(C76, Tasks!$A:$A, 0))</f>
        <v>Empty trash being careful of leaking bags.</v>
      </c>
      <c r="G76" s="4" t="e">
        <f t="array" aca="1" ref="G76" ca="1">_xludf.LET(
  _xlpm.task,$C76,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76" s="4" t="str">
        <f>IFERROR(IF(FIND("1",$D76),H$1,""),"")</f>
        <v/>
      </c>
      <c r="I76" s="4" t="str">
        <f>IFERROR(IF(FIND("2",$D76),I$1,""),"")</f>
        <v/>
      </c>
      <c r="J76" s="4" t="str">
        <f>IFERROR(IF(FIND("3",$D76),J$1,""),"")</f>
        <v/>
      </c>
      <c r="K76" s="4" t="str">
        <f>IFERROR(IF(FIND("4",$D76),K$1,""),"")</f>
        <v>Thu</v>
      </c>
      <c r="L76" s="4" t="str">
        <f>IFERROR(IF(FIND("5",$D76),L$1,""),"")</f>
        <v/>
      </c>
      <c r="M76" s="4" t="e">
        <f t="array" aca="1" ref="M76" ca="1">_xludf.CONCAT("every ",_xludf.TEXTJOIN(", ", TRUE, IF(H76:L76&lt;&gt;"", H76:L76, "")))</f>
        <v>#NAME?</v>
      </c>
    </row>
    <row r="77" spans="1:13" ht="15.75" customHeight="1" x14ac:dyDescent="0.25">
      <c r="A77" s="2" t="s">
        <v>12</v>
      </c>
      <c r="B77" s="2" t="s">
        <v>58</v>
      </c>
      <c r="C77" s="2" t="s">
        <v>13</v>
      </c>
      <c r="D77" s="3">
        <v>5</v>
      </c>
      <c r="E77" s="2" t="s">
        <v>42</v>
      </c>
      <c r="F77" s="4" t="str">
        <f t="array" ref="F77">INDEX(Tasks!$B:$B, MATCH(C77, Tasks!$A:$A, 0))</f>
        <v>Use Backpack Vacuum.</v>
      </c>
      <c r="G77" s="4" t="e">
        <f t="array" aca="1" ref="G77" ca="1">_xludf.LET(
  _xlpm.task,$C77,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77" s="4" t="str">
        <f>IFERROR(IF(FIND("1",$D77),H$1,""),"")</f>
        <v/>
      </c>
      <c r="I77" s="4" t="str">
        <f>IFERROR(IF(FIND("2",$D77),I$1,""),"")</f>
        <v/>
      </c>
      <c r="J77" s="4" t="str">
        <f>IFERROR(IF(FIND("3",$D77),J$1,""),"")</f>
        <v/>
      </c>
      <c r="K77" s="4" t="str">
        <f>IFERROR(IF(FIND("4",$D77),K$1,""),"")</f>
        <v/>
      </c>
      <c r="L77" s="4" t="str">
        <f>IFERROR(IF(FIND("5",$D77),L$1,""),"")</f>
        <v>Fri</v>
      </c>
      <c r="M77" s="4" t="e">
        <f t="array" aca="1" ref="M77" ca="1">_xludf.CONCAT("every ",_xludf.TEXTJOIN(", ", TRUE, IF(H77:L77&lt;&gt;"", H77:L77, "")))</f>
        <v>#NAME?</v>
      </c>
    </row>
    <row r="78" spans="1:13" ht="15.75" customHeight="1" x14ac:dyDescent="0.25">
      <c r="A78" s="2" t="s">
        <v>23</v>
      </c>
      <c r="B78" s="2" t="s">
        <v>538</v>
      </c>
      <c r="C78" s="5" t="s">
        <v>24</v>
      </c>
      <c r="D78" s="3">
        <v>1</v>
      </c>
      <c r="E78" s="2" t="s">
        <v>42</v>
      </c>
      <c r="F78" s="4" t="str">
        <f t="array" ref="F78">INDEX(Tasks!$B:$B, MATCH(C78, Tasks!$A:$A, 0))</f>
        <v>Empty trash being careful of leaking bags.</v>
      </c>
      <c r="G78" s="4" t="e">
        <f t="array" aca="1" ref="G78" ca="1">_xludf.LET(
  _xlpm.task,$C78,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78" s="4" t="str">
        <f>IFERROR(IF(FIND("1",$D78),H$1,""),"")</f>
        <v>Mon</v>
      </c>
      <c r="I78" s="4" t="str">
        <f>IFERROR(IF(FIND("2",$D78),I$1,""),"")</f>
        <v/>
      </c>
      <c r="J78" s="4" t="str">
        <f>IFERROR(IF(FIND("3",$D78),J$1,""),"")</f>
        <v/>
      </c>
      <c r="K78" s="4" t="str">
        <f>IFERROR(IF(FIND("4",$D78),K$1,""),"")</f>
        <v/>
      </c>
      <c r="L78" s="4" t="str">
        <f>IFERROR(IF(FIND("5",$D78),L$1,""),"")</f>
        <v/>
      </c>
      <c r="M78" s="4" t="e">
        <f t="array" aca="1" ref="M78" ca="1">_xludf.CONCAT("every ",_xludf.TEXTJOIN(", ", TRUE, IF(H78:L78&lt;&gt;"", H78:L78, "")))</f>
        <v>#NAME?</v>
      </c>
    </row>
    <row r="79" spans="1:13" ht="15.75" customHeight="1" x14ac:dyDescent="0.25">
      <c r="A79" s="2" t="s">
        <v>23</v>
      </c>
      <c r="B79" s="2" t="s">
        <v>538</v>
      </c>
      <c r="C79" s="2" t="s">
        <v>29</v>
      </c>
      <c r="D79" s="3">
        <v>1</v>
      </c>
      <c r="E79" s="2" t="s">
        <v>42</v>
      </c>
      <c r="F79" s="4" t="str">
        <f t="array" ref="F79">INDEX(Tasks!$B:$B, MATCH(C79, Tasks!$A:$A, 0))</f>
        <v>Mix 6oz floor cleaner and 3gal hot water in mop bucket.</v>
      </c>
      <c r="G79" s="4" t="e">
        <f t="array" aca="1" ref="G79" ca="1">_xludf.LET(
  _xlpm.task,$C79,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79" s="4" t="str">
        <f>IFERROR(IF(FIND("1",$D79),H$1,""),"")</f>
        <v>Mon</v>
      </c>
      <c r="I79" s="4" t="str">
        <f>IFERROR(IF(FIND("2",$D79),I$1,""),"")</f>
        <v/>
      </c>
      <c r="J79" s="4" t="str">
        <f>IFERROR(IF(FIND("3",$D79),J$1,""),"")</f>
        <v/>
      </c>
      <c r="K79" s="4" t="str">
        <f>IFERROR(IF(FIND("4",$D79),K$1,""),"")</f>
        <v/>
      </c>
      <c r="L79" s="4" t="str">
        <f>IFERROR(IF(FIND("5",$D79),L$1,""),"")</f>
        <v/>
      </c>
      <c r="M79" s="4" t="e">
        <f t="array" aca="1" ref="M79" ca="1">_xludf.CONCAT("every ",_xludf.TEXTJOIN(", ", TRUE, IF(H79:L79&lt;&gt;"", H79:L79, "")))</f>
        <v>#NAME?</v>
      </c>
    </row>
    <row r="80" spans="1:13" ht="15.75" customHeight="1" x14ac:dyDescent="0.25">
      <c r="A80" s="2" t="s">
        <v>23</v>
      </c>
      <c r="B80" s="2" t="s">
        <v>538</v>
      </c>
      <c r="C80" s="5" t="s">
        <v>43</v>
      </c>
      <c r="D80" s="3">
        <v>1</v>
      </c>
      <c r="E80" s="2" t="s">
        <v>42</v>
      </c>
      <c r="F80" s="4" t="str">
        <f t="array" ref="F80">INDEX(Tasks!$B:$B, MATCH(C80, Tasks!$A:$A, 0))</f>
        <v>Use Barkeepers Friend in bowl, Scrub with sink brush. Finish with 2in1 and Paper Towels.</v>
      </c>
      <c r="G80" s="4" t="e">
        <f t="array" aca="1" ref="G80" ca="1">_xludf.LET(
  _xlpm.task,$C80,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80" s="4" t="str">
        <f>IFERROR(IF(FIND("1",$D80),H$1,""),"")</f>
        <v>Mon</v>
      </c>
      <c r="I80" s="4" t="str">
        <f>IFERROR(IF(FIND("2",$D80),I$1,""),"")</f>
        <v/>
      </c>
      <c r="J80" s="4" t="str">
        <f>IFERROR(IF(FIND("3",$D80),J$1,""),"")</f>
        <v/>
      </c>
      <c r="K80" s="4" t="str">
        <f>IFERROR(IF(FIND("4",$D80),K$1,""),"")</f>
        <v/>
      </c>
      <c r="L80" s="4" t="str">
        <f>IFERROR(IF(FIND("5",$D80),L$1,""),"")</f>
        <v/>
      </c>
      <c r="M80" s="4" t="e">
        <f t="array" aca="1" ref="M80" ca="1">_xludf.CONCAT("every ",_xludf.TEXTJOIN(", ", TRUE, IF(H80:L80&lt;&gt;"", H80:L80, "")))</f>
        <v>#NAME?</v>
      </c>
    </row>
    <row r="81" spans="1:13" ht="15.75" customHeight="1" x14ac:dyDescent="0.25">
      <c r="A81" s="2" t="s">
        <v>23</v>
      </c>
      <c r="B81" s="2" t="s">
        <v>538</v>
      </c>
      <c r="C81" s="5" t="s">
        <v>44</v>
      </c>
      <c r="D81" s="3">
        <v>1</v>
      </c>
      <c r="E81" s="2" t="s">
        <v>42</v>
      </c>
      <c r="F81" s="4" t="str">
        <f t="array" ref="F81">INDEX(Tasks!$B:$B, MATCH(C81, Tasks!$A:$A, 0))</f>
        <v>Refill Paper Towels and hand soap.</v>
      </c>
      <c r="G81" s="4" t="e">
        <f t="array" aca="1" ref="G81" ca="1">_xludf.LET(
  _xlpm.task,$C81,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81" s="4" t="str">
        <f>IFERROR(IF(FIND("1",$D81),H$1,""),"")</f>
        <v>Mon</v>
      </c>
      <c r="I81" s="4" t="str">
        <f>IFERROR(IF(FIND("2",$D81),I$1,""),"")</f>
        <v/>
      </c>
      <c r="J81" s="4" t="str">
        <f>IFERROR(IF(FIND("3",$D81),J$1,""),"")</f>
        <v/>
      </c>
      <c r="K81" s="4" t="str">
        <f>IFERROR(IF(FIND("4",$D81),K$1,""),"")</f>
        <v/>
      </c>
      <c r="L81" s="4" t="str">
        <f>IFERROR(IF(FIND("5",$D81),L$1,""),"")</f>
        <v/>
      </c>
      <c r="M81" s="4" t="e">
        <f t="array" aca="1" ref="M81" ca="1">_xludf.CONCAT("every ",_xludf.TEXTJOIN(", ", TRUE, IF(H81:L81&lt;&gt;"", H81:L81, "")))</f>
        <v>#NAME?</v>
      </c>
    </row>
    <row r="82" spans="1:13" ht="15.75" customHeight="1" x14ac:dyDescent="0.25">
      <c r="A82" s="2" t="s">
        <v>23</v>
      </c>
      <c r="B82" s="2" t="s">
        <v>538</v>
      </c>
      <c r="C82" s="2" t="s">
        <v>17</v>
      </c>
      <c r="D82" s="3">
        <v>1</v>
      </c>
      <c r="E82" s="2" t="s">
        <v>42</v>
      </c>
      <c r="F82" s="4" t="str">
        <f t="array" ref="F82">INDEX(Tasks!$B:$B, MATCH(C82, Tasks!$A:$A, 0))</f>
        <v>Sweep Floors with broom.</v>
      </c>
      <c r="G82" s="4" t="e">
        <f t="array" aca="1" ref="G82" ca="1">_xludf.LET(
  _xlpm.task,$C82,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82" s="4" t="str">
        <f>IFERROR(IF(FIND("1",$D82),H$1,""),"")</f>
        <v>Mon</v>
      </c>
      <c r="I82" s="4" t="str">
        <f>IFERROR(IF(FIND("2",$D82),I$1,""),"")</f>
        <v/>
      </c>
      <c r="J82" s="4" t="str">
        <f>IFERROR(IF(FIND("3",$D82),J$1,""),"")</f>
        <v/>
      </c>
      <c r="K82" s="4" t="str">
        <f>IFERROR(IF(FIND("4",$D82),K$1,""),"")</f>
        <v/>
      </c>
      <c r="L82" s="4" t="str">
        <f>IFERROR(IF(FIND("5",$D82),L$1,""),"")</f>
        <v/>
      </c>
      <c r="M82" s="4" t="e">
        <f t="array" aca="1" ref="M82" ca="1">_xludf.CONCAT("every ",_xludf.TEXTJOIN(", ", TRUE, IF(H82:L82&lt;&gt;"", H82:L82, "")))</f>
        <v>#NAME?</v>
      </c>
    </row>
    <row r="83" spans="1:13" ht="15.75" customHeight="1" x14ac:dyDescent="0.25">
      <c r="A83" s="2" t="s">
        <v>23</v>
      </c>
      <c r="B83" s="2" t="s">
        <v>538</v>
      </c>
      <c r="C83" s="5" t="s">
        <v>45</v>
      </c>
      <c r="D83" s="3">
        <v>1</v>
      </c>
      <c r="E83" s="2" t="s">
        <v>42</v>
      </c>
      <c r="F83" s="4" t="str">
        <f t="array" ref="F83">INDEX(Tasks!$B:$B, MATCH(C83, Tasks!$A:$A, 0))</f>
        <v>Spray with 2in1, wipe with Paper Towel.</v>
      </c>
      <c r="G83" s="4" t="e">
        <f t="array" aca="1" ref="G83" ca="1">_xludf.LET(
  _xlpm.task,$C83,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83" s="4" t="str">
        <f>IFERROR(IF(FIND("1",$D83),H$1,""),"")</f>
        <v>Mon</v>
      </c>
      <c r="I83" s="4" t="str">
        <f>IFERROR(IF(FIND("2",$D83),I$1,""),"")</f>
        <v/>
      </c>
      <c r="J83" s="4" t="str">
        <f>IFERROR(IF(FIND("3",$D83),J$1,""),"")</f>
        <v/>
      </c>
      <c r="K83" s="4" t="str">
        <f>IFERROR(IF(FIND("4",$D83),K$1,""),"")</f>
        <v/>
      </c>
      <c r="L83" s="4" t="str">
        <f>IFERROR(IF(FIND("5",$D83),L$1,""),"")</f>
        <v/>
      </c>
      <c r="M83" s="4" t="e">
        <f t="array" aca="1" ref="M83" ca="1">_xludf.CONCAT("every ",_xludf.TEXTJOIN(", ", TRUE, IF(H83:L83&lt;&gt;"", H83:L83, "")))</f>
        <v>#NAME?</v>
      </c>
    </row>
    <row r="84" spans="1:13" ht="15.75" customHeight="1" x14ac:dyDescent="0.25">
      <c r="A84" s="2" t="s">
        <v>23</v>
      </c>
      <c r="B84" s="2" t="s">
        <v>538</v>
      </c>
      <c r="C84" s="5" t="s">
        <v>18</v>
      </c>
      <c r="D84" s="3">
        <v>1</v>
      </c>
      <c r="E84" s="2" t="s">
        <v>42</v>
      </c>
      <c r="F84" s="4" t="str">
        <f t="array" ref="F84">INDEX(Tasks!$B:$B, MATCH(C84, Tasks!$A:$A, 0))</f>
        <v>Spray with 2in1, wipe with Paper Towel.</v>
      </c>
      <c r="G84" s="4" t="e">
        <f t="array" aca="1" ref="G84" ca="1">_xludf.LET(
  _xlpm.task,$C84,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84" s="4" t="str">
        <f>IFERROR(IF(FIND("1",$D84),H$1,""),"")</f>
        <v>Mon</v>
      </c>
      <c r="I84" s="4" t="str">
        <f>IFERROR(IF(FIND("2",$D84),I$1,""),"")</f>
        <v/>
      </c>
      <c r="J84" s="4" t="str">
        <f>IFERROR(IF(FIND("3",$D84),J$1,""),"")</f>
        <v/>
      </c>
      <c r="K84" s="4" t="str">
        <f>IFERROR(IF(FIND("4",$D84),K$1,""),"")</f>
        <v/>
      </c>
      <c r="L84" s="4" t="str">
        <f>IFERROR(IF(FIND("5",$D84),L$1,""),"")</f>
        <v/>
      </c>
      <c r="M84" s="4" t="e">
        <f t="array" aca="1" ref="M84" ca="1">_xludf.CONCAT("every ",_xludf.TEXTJOIN(", ", TRUE, IF(H84:L84&lt;&gt;"", H84:L84, "")))</f>
        <v>#NAME?</v>
      </c>
    </row>
    <row r="85" spans="1:13" ht="15.75" customHeight="1" x14ac:dyDescent="0.25">
      <c r="A85" s="2" t="s">
        <v>23</v>
      </c>
      <c r="B85" s="2" t="s">
        <v>538</v>
      </c>
      <c r="C85" s="5" t="s">
        <v>25</v>
      </c>
      <c r="D85" s="3">
        <v>1</v>
      </c>
      <c r="E85" s="2" t="s">
        <v>42</v>
      </c>
      <c r="F85" s="4" t="str">
        <f t="array" ref="F85">INDEX(Tasks!$B:$B, MATCH(C85, Tasks!$A:$A, 0))</f>
        <v>Spray with 2in1, wipe with Paper Towel.</v>
      </c>
      <c r="G85" s="4" t="e">
        <f t="array" aca="1" ref="G85" ca="1">_xludf.LET(
  _xlpm.task,$C85,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85" s="4" t="str">
        <f>IFERROR(IF(FIND("1",$D85),H$1,""),"")</f>
        <v>Mon</v>
      </c>
      <c r="I85" s="4" t="str">
        <f>IFERROR(IF(FIND("2",$D85),I$1,""),"")</f>
        <v/>
      </c>
      <c r="J85" s="4" t="str">
        <f>IFERROR(IF(FIND("3",$D85),J$1,""),"")</f>
        <v/>
      </c>
      <c r="K85" s="4" t="str">
        <f>IFERROR(IF(FIND("4",$D85),K$1,""),"")</f>
        <v/>
      </c>
      <c r="L85" s="4" t="str">
        <f>IFERROR(IF(FIND("5",$D85),L$1,""),"")</f>
        <v/>
      </c>
      <c r="M85" s="4" t="e">
        <f t="array" aca="1" ref="M85" ca="1">_xludf.CONCAT("every ",_xludf.TEXTJOIN(", ", TRUE, IF(H85:L85&lt;&gt;"", H85:L85, "")))</f>
        <v>#NAME?</v>
      </c>
    </row>
    <row r="86" spans="1:13" ht="15.75" customHeight="1" x14ac:dyDescent="0.25">
      <c r="A86" s="2" t="s">
        <v>23</v>
      </c>
      <c r="B86" s="2" t="s">
        <v>545</v>
      </c>
      <c r="C86" s="5" t="s">
        <v>24</v>
      </c>
      <c r="D86" s="3">
        <v>1</v>
      </c>
      <c r="E86" s="2" t="s">
        <v>42</v>
      </c>
      <c r="F86" s="4" t="str">
        <f t="array" ref="F86">INDEX(Tasks!$B:$B, MATCH(C86, Tasks!$A:$A, 0))</f>
        <v>Empty trash being careful of leaking bags.</v>
      </c>
      <c r="G86" s="4" t="e">
        <f t="array" aca="1" ref="G86" ca="1">_xludf.LET(
  _xlpm.task,$C86,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86" s="4" t="str">
        <f>IFERROR(IF(FIND("1",$D86),H$1,""),"")</f>
        <v>Mon</v>
      </c>
      <c r="I86" s="4" t="str">
        <f>IFERROR(IF(FIND("2",$D86),I$1,""),"")</f>
        <v/>
      </c>
      <c r="J86" s="4" t="str">
        <f>IFERROR(IF(FIND("3",$D86),J$1,""),"")</f>
        <v/>
      </c>
      <c r="K86" s="4" t="str">
        <f>IFERROR(IF(FIND("4",$D86),K$1,""),"")</f>
        <v/>
      </c>
      <c r="L86" s="4" t="str">
        <f>IFERROR(IF(FIND("5",$D86),L$1,""),"")</f>
        <v/>
      </c>
      <c r="M86" s="4" t="e">
        <f t="array" aca="1" ref="M86" ca="1">_xludf.CONCAT("every ",_xludf.TEXTJOIN(", ", TRUE, IF(H86:L86&lt;&gt;"", H86:L86, "")))</f>
        <v>#NAME?</v>
      </c>
    </row>
    <row r="87" spans="1:13" ht="15.75" customHeight="1" x14ac:dyDescent="0.25">
      <c r="A87" s="2" t="s">
        <v>23</v>
      </c>
      <c r="B87" s="2" t="s">
        <v>545</v>
      </c>
      <c r="C87" s="5" t="s">
        <v>26</v>
      </c>
      <c r="D87" s="3">
        <v>5</v>
      </c>
      <c r="E87" s="2" t="s">
        <v>14</v>
      </c>
      <c r="F87" s="4" t="str">
        <f t="array" ref="F87">INDEX(Tasks!$B:$B, MATCH(C87, Tasks!$A:$A, 0))</f>
        <v>Clean visibly dirty spots.</v>
      </c>
      <c r="G87" s="4" t="e">
        <f t="array" aca="1" ref="G87" ca="1">_xludf.LET(
  _xlpm.task,$C87,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87" s="4" t="str">
        <f>IFERROR(IF(FIND("1",$D87),H$1,""),"")</f>
        <v/>
      </c>
      <c r="I87" s="4" t="str">
        <f>IFERROR(IF(FIND("2",$D87),I$1,""),"")</f>
        <v/>
      </c>
      <c r="J87" s="4" t="str">
        <f>IFERROR(IF(FIND("3",$D87),J$1,""),"")</f>
        <v/>
      </c>
      <c r="K87" s="4" t="str">
        <f>IFERROR(IF(FIND("4",$D87),K$1,""),"")</f>
        <v/>
      </c>
      <c r="L87" s="4" t="str">
        <f>IFERROR(IF(FIND("5",$D87),L$1,""),"")</f>
        <v>Fri</v>
      </c>
      <c r="M87" s="4" t="e">
        <f t="array" aca="1" ref="M87" ca="1">_xludf.CONCAT("every ",_xludf.TEXTJOIN(", ", TRUE, IF(H87:L87&lt;&gt;"", H87:L87, "")))</f>
        <v>#NAME?</v>
      </c>
    </row>
    <row r="88" spans="1:13" ht="15.75" customHeight="1" x14ac:dyDescent="0.25">
      <c r="A88" s="2" t="s">
        <v>23</v>
      </c>
      <c r="B88" s="2" t="s">
        <v>545</v>
      </c>
      <c r="C88" s="2" t="s">
        <v>13</v>
      </c>
      <c r="D88" s="3">
        <v>1</v>
      </c>
      <c r="E88" s="3" t="s">
        <v>42</v>
      </c>
      <c r="F88" s="4" t="str">
        <f t="array" ref="F88">INDEX(Tasks!$B:$B, MATCH(C88, Tasks!$A:$A, 0))</f>
        <v>Use Backpack Vacuum.</v>
      </c>
      <c r="G88" s="4" t="e">
        <f t="array" aca="1" ref="G88" ca="1">_xludf.LET(
  _xlpm.task,$C88,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88" s="4" t="str">
        <f>IFERROR(IF(FIND("1",$D88),H$1,""),"")</f>
        <v>Mon</v>
      </c>
      <c r="I88" s="4" t="str">
        <f>IFERROR(IF(FIND("2",$D88),I$1,""),"")</f>
        <v/>
      </c>
      <c r="J88" s="4" t="str">
        <f>IFERROR(IF(FIND("3",$D88),J$1,""),"")</f>
        <v/>
      </c>
      <c r="K88" s="4" t="str">
        <f>IFERROR(IF(FIND("4",$D88),K$1,""),"")</f>
        <v/>
      </c>
      <c r="L88" s="4" t="str">
        <f>IFERROR(IF(FIND("5",$D88),L$1,""),"")</f>
        <v/>
      </c>
      <c r="M88" s="4" t="e">
        <f t="array" aca="1" ref="M88" ca="1">_xludf.CONCAT("every ",_xludf.TEXTJOIN(", ", TRUE, IF(H88:L88&lt;&gt;"", H88:L88, "")))</f>
        <v>#NAME?</v>
      </c>
    </row>
    <row r="89" spans="1:13" ht="15.75" customHeight="1" x14ac:dyDescent="0.25">
      <c r="A89" s="2" t="s">
        <v>23</v>
      </c>
      <c r="B89" s="2" t="s">
        <v>545</v>
      </c>
      <c r="C89" s="5" t="s">
        <v>25</v>
      </c>
      <c r="D89" s="3">
        <v>1</v>
      </c>
      <c r="E89" s="2" t="s">
        <v>42</v>
      </c>
      <c r="F89" s="4" t="str">
        <f t="array" ref="F89">INDEX(Tasks!$B:$B, MATCH(C89, Tasks!$A:$A, 0))</f>
        <v>Spray with 2in1, wipe with Paper Towel.</v>
      </c>
      <c r="G89" s="4" t="e">
        <f t="array" aca="1" ref="G89" ca="1">_xludf.LET(
  _xlpm.task,$C89,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89" s="4" t="str">
        <f>IFERROR(IF(FIND("1",$D89),H$1,""),"")</f>
        <v>Mon</v>
      </c>
      <c r="I89" s="4" t="str">
        <f>IFERROR(IF(FIND("2",$D89),I$1,""),"")</f>
        <v/>
      </c>
      <c r="J89" s="4" t="str">
        <f>IFERROR(IF(FIND("3",$D89),J$1,""),"")</f>
        <v/>
      </c>
      <c r="K89" s="4" t="str">
        <f>IFERROR(IF(FIND("4",$D89),K$1,""),"")</f>
        <v/>
      </c>
      <c r="L89" s="4" t="str">
        <f>IFERROR(IF(FIND("5",$D89),L$1,""),"")</f>
        <v/>
      </c>
      <c r="M89" s="4" t="e">
        <f t="array" aca="1" ref="M89" ca="1">_xludf.CONCAT("every ",_xludf.TEXTJOIN(", ", TRUE, IF(H89:L89&lt;&gt;"", H89:L89, "")))</f>
        <v>#NAME?</v>
      </c>
    </row>
    <row r="90" spans="1:13" ht="15.75" customHeight="1" x14ac:dyDescent="0.25">
      <c r="A90" s="2" t="s">
        <v>23</v>
      </c>
      <c r="B90" s="2" t="s">
        <v>537</v>
      </c>
      <c r="C90" s="5" t="s">
        <v>24</v>
      </c>
      <c r="D90" s="3">
        <v>1</v>
      </c>
      <c r="E90" s="2" t="s">
        <v>14</v>
      </c>
      <c r="F90" s="4" t="str">
        <f t="array" ref="F90">INDEX(Tasks!$B:$B, MATCH(C90, Tasks!$A:$A, 0))</f>
        <v>Empty trash being careful of leaking bags.</v>
      </c>
      <c r="G90" s="4" t="e">
        <f t="array" aca="1" ref="G90" ca="1">_xludf.LET(
  _xlpm.task,$C90,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90" s="4" t="str">
        <f>IFERROR(IF(FIND("1",$D90),H$1,""),"")</f>
        <v>Mon</v>
      </c>
      <c r="I90" s="4" t="str">
        <f>IFERROR(IF(FIND("2",$D90),I$1,""),"")</f>
        <v/>
      </c>
      <c r="J90" s="4" t="str">
        <f>IFERROR(IF(FIND("3",$D90),J$1,""),"")</f>
        <v/>
      </c>
      <c r="K90" s="4" t="str">
        <f>IFERROR(IF(FIND("4",$D90),K$1,""),"")</f>
        <v/>
      </c>
      <c r="L90" s="4" t="str">
        <f>IFERROR(IF(FIND("5",$D90),L$1,""),"")</f>
        <v/>
      </c>
      <c r="M90" s="4" t="e">
        <f t="array" aca="1" ref="M90" ca="1">_xludf.CONCAT("every ",_xludf.TEXTJOIN(", ", TRUE, IF(H90:L90&lt;&gt;"", H90:L90, "")))</f>
        <v>#NAME?</v>
      </c>
    </row>
    <row r="91" spans="1:13" ht="15.75" customHeight="1" x14ac:dyDescent="0.25">
      <c r="A91" s="2" t="s">
        <v>23</v>
      </c>
      <c r="B91" s="2" t="s">
        <v>537</v>
      </c>
      <c r="C91" s="2" t="s">
        <v>13</v>
      </c>
      <c r="D91" s="3">
        <v>1</v>
      </c>
      <c r="E91" s="2" t="s">
        <v>14</v>
      </c>
      <c r="F91" s="4" t="str">
        <f t="array" ref="F91">INDEX(Tasks!$B:$B, MATCH(C91, Tasks!$A:$A, 0))</f>
        <v>Use Backpack Vacuum.</v>
      </c>
      <c r="G91" s="4" t="e">
        <f t="array" aca="1" ref="G91" ca="1">_xludf.LET(
  _xlpm.task,$C91,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91" s="4" t="str">
        <f>IFERROR(IF(FIND("1",$D91),H$1,""),"")</f>
        <v>Mon</v>
      </c>
      <c r="I91" s="4" t="str">
        <f>IFERROR(IF(FIND("2",$D91),I$1,""),"")</f>
        <v/>
      </c>
      <c r="J91" s="4" t="str">
        <f>IFERROR(IF(FIND("3",$D91),J$1,""),"")</f>
        <v/>
      </c>
      <c r="K91" s="4" t="str">
        <f>IFERROR(IF(FIND("4",$D91),K$1,""),"")</f>
        <v/>
      </c>
      <c r="L91" s="4" t="str">
        <f>IFERROR(IF(FIND("5",$D91),L$1,""),"")</f>
        <v/>
      </c>
      <c r="M91" s="4" t="e">
        <f t="array" aca="1" ref="M91" ca="1">_xludf.CONCAT("every ",_xludf.TEXTJOIN(", ", TRUE, IF(H91:L91&lt;&gt;"", H91:L91, "")))</f>
        <v>#NAME?</v>
      </c>
    </row>
    <row r="92" spans="1:13" ht="15.75" customHeight="1" x14ac:dyDescent="0.25">
      <c r="A92" s="2" t="s">
        <v>23</v>
      </c>
      <c r="B92" s="2" t="s">
        <v>537</v>
      </c>
      <c r="C92" s="5" t="s">
        <v>25</v>
      </c>
      <c r="D92" s="3">
        <v>1</v>
      </c>
      <c r="E92" s="2" t="s">
        <v>14</v>
      </c>
      <c r="F92" s="4" t="str">
        <f t="array" ref="F92">INDEX(Tasks!$B:$B, MATCH(C92, Tasks!$A:$A, 0))</f>
        <v>Spray with 2in1, wipe with Paper Towel.</v>
      </c>
      <c r="G92" s="4" t="e">
        <f t="array" aca="1" ref="G92" ca="1">_xludf.LET(
  _xlpm.task,$C92,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92" s="4" t="str">
        <f>IFERROR(IF(FIND("1",$D92),H$1,""),"")</f>
        <v>Mon</v>
      </c>
      <c r="I92" s="4" t="str">
        <f>IFERROR(IF(FIND("2",$D92),I$1,""),"")</f>
        <v/>
      </c>
      <c r="J92" s="4" t="str">
        <f>IFERROR(IF(FIND("3",$D92),J$1,""),"")</f>
        <v/>
      </c>
      <c r="K92" s="4" t="str">
        <f>IFERROR(IF(FIND("4",$D92),K$1,""),"")</f>
        <v/>
      </c>
      <c r="L92" s="4" t="str">
        <f>IFERROR(IF(FIND("5",$D92),L$1,""),"")</f>
        <v/>
      </c>
      <c r="M92" s="4" t="e">
        <f t="array" aca="1" ref="M92" ca="1">_xludf.CONCAT("every ",_xludf.TEXTJOIN(", ", TRUE, IF(H92:L92&lt;&gt;"", H92:L92, "")))</f>
        <v>#NAME?</v>
      </c>
    </row>
    <row r="93" spans="1:13" ht="15.75" customHeight="1" x14ac:dyDescent="0.25">
      <c r="A93" s="2" t="s">
        <v>23</v>
      </c>
      <c r="B93" s="2" t="s">
        <v>27</v>
      </c>
      <c r="C93" s="2" t="s">
        <v>28</v>
      </c>
      <c r="D93" s="3">
        <v>1</v>
      </c>
      <c r="E93" s="2" t="s">
        <v>14</v>
      </c>
      <c r="F93" s="4" t="str">
        <f t="array" ref="F93">INDEX(Tasks!$B:$B, MATCH(C93, Tasks!$A:$A, 0))</f>
        <v>Wipe down Tables with 2in1 and put away. Empty Coffee Trash. Roll up Rugs and store above Tables. Put Communion Elements in Refrigerator.</v>
      </c>
      <c r="G93" s="4" t="e">
        <f t="array" aca="1" ref="G93" ca="1">_xludf.LET(
  _xlpm.task,$C93,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93" s="4" t="str">
        <f>IFERROR(IF(FIND("1",$D93),H$1,""),"")</f>
        <v>Mon</v>
      </c>
      <c r="I93" s="4" t="str">
        <f>IFERROR(IF(FIND("2",$D93),I$1,""),"")</f>
        <v/>
      </c>
      <c r="J93" s="4" t="str">
        <f>IFERROR(IF(FIND("3",$D93),J$1,""),"")</f>
        <v/>
      </c>
      <c r="K93" s="4" t="str">
        <f>IFERROR(IF(FIND("4",$D93),K$1,""),"")</f>
        <v/>
      </c>
      <c r="L93" s="4" t="str">
        <f>IFERROR(IF(FIND("5",$D93),L$1,""),"")</f>
        <v/>
      </c>
      <c r="M93" s="4" t="e">
        <f t="array" aca="1" ref="M93" ca="1">_xludf.CONCAT("every ",_xludf.TEXTJOIN(", ", TRUE, IF(H93:L93&lt;&gt;"", H93:L93, "")))</f>
        <v>#NAME?</v>
      </c>
    </row>
    <row r="94" spans="1:13" ht="15.75" customHeight="1" x14ac:dyDescent="0.25">
      <c r="A94" s="2" t="s">
        <v>23</v>
      </c>
      <c r="B94" s="2" t="s">
        <v>27</v>
      </c>
      <c r="C94" s="5" t="s">
        <v>49</v>
      </c>
      <c r="D94" s="3">
        <v>4</v>
      </c>
      <c r="E94" s="2" t="s">
        <v>42</v>
      </c>
      <c r="F94" s="4" t="str">
        <f t="array" ref="F94">INDEX(Tasks!$B:$B, MATCH(C94, Tasks!$A:$A, 0))</f>
        <v>Spray 2in1 on fountain and wipe off with Paper Towels.</v>
      </c>
      <c r="G94" s="4" t="e">
        <f t="array" aca="1" ref="G94" ca="1">_xludf.LET(
  _xlpm.task,$C94,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94" s="4" t="str">
        <f>IFERROR(IF(FIND("1",$D94),H$1,""),"")</f>
        <v/>
      </c>
      <c r="I94" s="4" t="str">
        <f>IFERROR(IF(FIND("2",$D94),I$1,""),"")</f>
        <v/>
      </c>
      <c r="J94" s="4" t="str">
        <f>IFERROR(IF(FIND("3",$D94),J$1,""),"")</f>
        <v/>
      </c>
      <c r="K94" s="4" t="str">
        <f>IFERROR(IF(FIND("4",$D94),K$1,""),"")</f>
        <v>Thu</v>
      </c>
      <c r="L94" s="4" t="str">
        <f>IFERROR(IF(FIND("5",$D94),L$1,""),"")</f>
        <v/>
      </c>
      <c r="M94" s="4" t="e">
        <f t="array" aca="1" ref="M94" ca="1">_xludf.CONCAT("every ",_xludf.TEXTJOIN(", ", TRUE, IF(H94:L94&lt;&gt;"", H94:L94, "")))</f>
        <v>#NAME?</v>
      </c>
    </row>
    <row r="95" spans="1:13" ht="15.75" customHeight="1" x14ac:dyDescent="0.25">
      <c r="A95" s="2" t="s">
        <v>23</v>
      </c>
      <c r="B95" s="2" t="s">
        <v>27</v>
      </c>
      <c r="C95" s="5" t="s">
        <v>24</v>
      </c>
      <c r="D95" s="3">
        <v>15</v>
      </c>
      <c r="E95" s="2" t="s">
        <v>14</v>
      </c>
      <c r="F95" s="4" t="str">
        <f t="array" ref="F95">INDEX(Tasks!$B:$B, MATCH(C95, Tasks!$A:$A, 0))</f>
        <v>Empty trash being careful of leaking bags.</v>
      </c>
      <c r="G95" s="4" t="e">
        <f t="array" aca="1" ref="G95" ca="1">_xludf.LET(
  _xlpm.task,$C95,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95" s="4" t="str">
        <f>IFERROR(IF(FIND("1",$D95),H$1,""),"")</f>
        <v>Mon</v>
      </c>
      <c r="I95" s="4" t="str">
        <f>IFERROR(IF(FIND("2",$D95),I$1,""),"")</f>
        <v/>
      </c>
      <c r="J95" s="4" t="str">
        <f>IFERROR(IF(FIND("3",$D95),J$1,""),"")</f>
        <v/>
      </c>
      <c r="K95" s="4" t="str">
        <f>IFERROR(IF(FIND("4",$D95),K$1,""),"")</f>
        <v/>
      </c>
      <c r="L95" s="4" t="str">
        <f>IFERROR(IF(FIND("5",$D95),L$1,""),"")</f>
        <v>Fri</v>
      </c>
      <c r="M95" s="4" t="e">
        <f t="array" aca="1" ref="M95" ca="1">_xludf.CONCAT("every ",_xludf.TEXTJOIN(", ", TRUE, IF(H95:L95&lt;&gt;"", H95:L95, "")))</f>
        <v>#NAME?</v>
      </c>
    </row>
    <row r="96" spans="1:13" ht="15.75" customHeight="1" x14ac:dyDescent="0.25">
      <c r="A96" s="2" t="s">
        <v>23</v>
      </c>
      <c r="B96" s="2" t="s">
        <v>27</v>
      </c>
      <c r="C96" s="2" t="s">
        <v>29</v>
      </c>
      <c r="D96" s="3">
        <v>5</v>
      </c>
      <c r="E96" s="2" t="s">
        <v>14</v>
      </c>
      <c r="F96" s="4" t="str">
        <f t="array" ref="F96">INDEX(Tasks!$B:$B, MATCH(C96, Tasks!$A:$A, 0))</f>
        <v>Mix 6oz floor cleaner and 3gal hot water in mop bucket.</v>
      </c>
      <c r="G96" s="4" t="e">
        <f t="array" aca="1" ref="G96" ca="1">_xludf.LET(
  _xlpm.task,$C96,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96" s="4" t="str">
        <f>IFERROR(IF(FIND("1",$D96),H$1,""),"")</f>
        <v/>
      </c>
      <c r="I96" s="4" t="str">
        <f>IFERROR(IF(FIND("2",$D96),I$1,""),"")</f>
        <v/>
      </c>
      <c r="J96" s="4" t="str">
        <f>IFERROR(IF(FIND("3",$D96),J$1,""),"")</f>
        <v/>
      </c>
      <c r="K96" s="4" t="str">
        <f>IFERROR(IF(FIND("4",$D96),K$1,""),"")</f>
        <v/>
      </c>
      <c r="L96" s="4" t="str">
        <f>IFERROR(IF(FIND("5",$D96),L$1,""),"")</f>
        <v>Fri</v>
      </c>
      <c r="M96" s="4" t="e">
        <f t="array" aca="1" ref="M96" ca="1">_xludf.CONCAT("every ",_xludf.TEXTJOIN(", ", TRUE, IF(H96:L96&lt;&gt;"", H96:L96, "")))</f>
        <v>#NAME?</v>
      </c>
    </row>
    <row r="97" spans="1:13" ht="15.75" customHeight="1" x14ac:dyDescent="0.25">
      <c r="A97" s="2" t="s">
        <v>23</v>
      </c>
      <c r="B97" s="2" t="s">
        <v>27</v>
      </c>
      <c r="C97" s="2" t="s">
        <v>17</v>
      </c>
      <c r="D97" s="3">
        <v>15</v>
      </c>
      <c r="E97" s="2" t="s">
        <v>14</v>
      </c>
      <c r="F97" s="4" t="str">
        <f t="array" ref="F97">INDEX(Tasks!$B:$B, MATCH(C97, Tasks!$A:$A, 0))</f>
        <v>Sweep Floors with broom.</v>
      </c>
      <c r="G97" s="4" t="e">
        <f t="array" aca="1" ref="G97" ca="1">_xludf.LET(
  _xlpm.task,$C97,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97" s="4" t="str">
        <f>IFERROR(IF(FIND("1",$D97),H$1,""),"")</f>
        <v>Mon</v>
      </c>
      <c r="I97" s="4" t="str">
        <f>IFERROR(IF(FIND("2",$D97),I$1,""),"")</f>
        <v/>
      </c>
      <c r="J97" s="4" t="str">
        <f>IFERROR(IF(FIND("3",$D97),J$1,""),"")</f>
        <v/>
      </c>
      <c r="K97" s="4" t="str">
        <f>IFERROR(IF(FIND("4",$D97),K$1,""),"")</f>
        <v/>
      </c>
      <c r="L97" s="4" t="str">
        <f>IFERROR(IF(FIND("5",$D97),L$1,""),"")</f>
        <v>Fri</v>
      </c>
      <c r="M97" s="4" t="e">
        <f t="array" aca="1" ref="M97" ca="1">_xludf.CONCAT("every ",_xludf.TEXTJOIN(", ", TRUE, IF(H97:L97&lt;&gt;"", H97:L97, "")))</f>
        <v>#NAME?</v>
      </c>
    </row>
    <row r="98" spans="1:13" ht="15.75" customHeight="1" x14ac:dyDescent="0.25">
      <c r="A98" s="2" t="s">
        <v>23</v>
      </c>
      <c r="B98" s="2" t="s">
        <v>27</v>
      </c>
      <c r="C98" s="5" t="s">
        <v>30</v>
      </c>
      <c r="D98" s="3">
        <v>5</v>
      </c>
      <c r="E98" s="2" t="s">
        <v>14</v>
      </c>
      <c r="F98" s="4" t="str">
        <f t="array" ref="F98">INDEX(Tasks!$B:$B, MATCH(C98, Tasks!$A:$A, 0))</f>
        <v>Use corded Vacuum.</v>
      </c>
      <c r="G98" s="4" t="e">
        <f t="array" aca="1" ref="G98" ca="1">_xludf.LET(
  _xlpm.task,$C98,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98" s="4" t="str">
        <f>IFERROR(IF(FIND("1",$D98),H$1,""),"")</f>
        <v/>
      </c>
      <c r="I98" s="4" t="str">
        <f>IFERROR(IF(FIND("2",$D98),I$1,""),"")</f>
        <v/>
      </c>
      <c r="J98" s="4" t="str">
        <f>IFERROR(IF(FIND("3",$D98),J$1,""),"")</f>
        <v/>
      </c>
      <c r="K98" s="4" t="str">
        <f>IFERROR(IF(FIND("4",$D98),K$1,""),"")</f>
        <v/>
      </c>
      <c r="L98" s="4" t="str">
        <f>IFERROR(IF(FIND("5",$D98),L$1,""),"")</f>
        <v>Fri</v>
      </c>
      <c r="M98" s="4" t="e">
        <f t="array" aca="1" ref="M98" ca="1">_xludf.CONCAT("every ",_xludf.TEXTJOIN(", ", TRUE, IF(H98:L98&lt;&gt;"", H98:L98, "")))</f>
        <v>#NAME?</v>
      </c>
    </row>
    <row r="99" spans="1:13" ht="15.75" customHeight="1" x14ac:dyDescent="0.25">
      <c r="A99" s="2" t="s">
        <v>23</v>
      </c>
      <c r="B99" s="2" t="s">
        <v>27</v>
      </c>
      <c r="C99" s="5" t="s">
        <v>22</v>
      </c>
      <c r="D99" s="3">
        <v>5</v>
      </c>
      <c r="E99" s="2" t="s">
        <v>14</v>
      </c>
      <c r="F99" s="4" t="str">
        <f t="array" ref="F99">INDEX(Tasks!$B:$B, MATCH(C99, Tasks!$A:$A, 0))</f>
        <v>Use handheld Vacuum from janitorial closet.</v>
      </c>
      <c r="G99" s="4" t="e">
        <f t="array" aca="1" ref="G99" ca="1">_xludf.LET(
  _xlpm.task,$C99,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99" s="4" t="str">
        <f>IFERROR(IF(FIND("1",$D99),H$1,""),"")</f>
        <v/>
      </c>
      <c r="I99" s="4" t="str">
        <f>IFERROR(IF(FIND("2",$D99),I$1,""),"")</f>
        <v/>
      </c>
      <c r="J99" s="4" t="str">
        <f>IFERROR(IF(FIND("3",$D99),J$1,""),"")</f>
        <v/>
      </c>
      <c r="K99" s="4" t="str">
        <f>IFERROR(IF(FIND("4",$D99),K$1,""),"")</f>
        <v/>
      </c>
      <c r="L99" s="4" t="str">
        <f>IFERROR(IF(FIND("5",$D99),L$1,""),"")</f>
        <v>Fri</v>
      </c>
      <c r="M99" s="4" t="e">
        <f t="array" aca="1" ref="M99" ca="1">_xludf.CONCAT("every ",_xludf.TEXTJOIN(", ", TRUE, IF(H99:L99&lt;&gt;"", H99:L99, "")))</f>
        <v>#NAME?</v>
      </c>
    </row>
    <row r="100" spans="1:13" ht="15.75" customHeight="1" x14ac:dyDescent="0.25">
      <c r="A100" s="2" t="s">
        <v>23</v>
      </c>
      <c r="B100" s="2" t="s">
        <v>27</v>
      </c>
      <c r="C100" s="5" t="s">
        <v>40</v>
      </c>
      <c r="D100" s="3">
        <v>4</v>
      </c>
      <c r="E100" s="2" t="s">
        <v>42</v>
      </c>
      <c r="F100" s="4" t="str">
        <f t="array" ref="F100">INDEX(Tasks!$B:$B, MATCH(C100, Tasks!$A:$A, 0))</f>
        <v>Spray 2in1 on a Paper Towel and wipe down surfaces.</v>
      </c>
      <c r="G100" s="4" t="e">
        <f t="array" aca="1" ref="G100" ca="1">_xludf.LET(
  _xlpm.task,$C100,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00" s="4" t="str">
        <f>IFERROR(IF(FIND("1",$D100),H$1,""),"")</f>
        <v/>
      </c>
      <c r="I100" s="4" t="str">
        <f>IFERROR(IF(FIND("2",$D100),I$1,""),"")</f>
        <v/>
      </c>
      <c r="J100" s="4" t="str">
        <f>IFERROR(IF(FIND("3",$D100),J$1,""),"")</f>
        <v/>
      </c>
      <c r="K100" s="4" t="str">
        <f>IFERROR(IF(FIND("4",$D100),K$1,""),"")</f>
        <v>Thu</v>
      </c>
      <c r="L100" s="4" t="str">
        <f>IFERROR(IF(FIND("5",$D100),L$1,""),"")</f>
        <v/>
      </c>
      <c r="M100" s="4" t="e">
        <f t="array" aca="1" ref="M100" ca="1">_xludf.CONCAT("every ",_xludf.TEXTJOIN(", ", TRUE, IF(H100:L100&lt;&gt;"", H100:L100, "")))</f>
        <v>#NAME?</v>
      </c>
    </row>
    <row r="101" spans="1:13" ht="15.75" customHeight="1" x14ac:dyDescent="0.25">
      <c r="A101" s="2" t="s">
        <v>23</v>
      </c>
      <c r="B101" s="2" t="s">
        <v>549</v>
      </c>
      <c r="C101" s="5" t="s">
        <v>31</v>
      </c>
      <c r="D101" s="3">
        <v>5</v>
      </c>
      <c r="E101" s="2" t="s">
        <v>14</v>
      </c>
      <c r="F101" s="4" t="str">
        <f t="array" ref="F101">INDEX(Tasks!$B:$B, MATCH(C101, Tasks!$A:$A, 0))</f>
        <v>Use Carpet Machine to clean Coffee Stains.</v>
      </c>
      <c r="G101" s="4" t="e">
        <f t="array" aca="1" ref="G101" ca="1">_xludf.LET(
  _xlpm.task,$C101,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01" s="4" t="str">
        <f>IFERROR(IF(FIND("1",$D101),H$1,""),"")</f>
        <v/>
      </c>
      <c r="I101" s="4" t="str">
        <f>IFERROR(IF(FIND("2",$D101),I$1,""),"")</f>
        <v/>
      </c>
      <c r="J101" s="4" t="str">
        <f>IFERROR(IF(FIND("3",$D101),J$1,""),"")</f>
        <v/>
      </c>
      <c r="K101" s="4" t="str">
        <f>IFERROR(IF(FIND("4",$D101),K$1,""),"")</f>
        <v/>
      </c>
      <c r="L101" s="4" t="str">
        <f>IFERROR(IF(FIND("5",$D101),L$1,""),"")</f>
        <v>Fri</v>
      </c>
      <c r="M101" s="4" t="e">
        <f t="array" aca="1" ref="M101" ca="1">_xludf.CONCAT("every ",_xludf.TEXTJOIN(", ", TRUE, IF(H101:L101&lt;&gt;"", H101:L101, "")))</f>
        <v>#NAME?</v>
      </c>
    </row>
    <row r="102" spans="1:13" ht="15.75" customHeight="1" x14ac:dyDescent="0.25">
      <c r="A102" s="2" t="s">
        <v>23</v>
      </c>
      <c r="B102" s="2" t="s">
        <v>549</v>
      </c>
      <c r="C102" s="5" t="s">
        <v>49</v>
      </c>
      <c r="D102" s="3">
        <v>5</v>
      </c>
      <c r="E102" s="2" t="s">
        <v>42</v>
      </c>
      <c r="F102" s="4" t="str">
        <f t="array" ref="F102">INDEX(Tasks!$B:$B, MATCH(C102, Tasks!$A:$A, 0))</f>
        <v>Spray 2in1 on fountain and wipe off with Paper Towels.</v>
      </c>
      <c r="G102" s="4" t="e">
        <f t="array" aca="1" ref="G102" ca="1">_xludf.LET(
  _xlpm.task,$C102,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02" s="4" t="str">
        <f>IFERROR(IF(FIND("1",$D102),H$1,""),"")</f>
        <v/>
      </c>
      <c r="I102" s="4" t="str">
        <f>IFERROR(IF(FIND("2",$D102),I$1,""),"")</f>
        <v/>
      </c>
      <c r="J102" s="4" t="str">
        <f>IFERROR(IF(FIND("3",$D102),J$1,""),"")</f>
        <v/>
      </c>
      <c r="K102" s="4" t="str">
        <f>IFERROR(IF(FIND("4",$D102),K$1,""),"")</f>
        <v/>
      </c>
      <c r="L102" s="4" t="str">
        <f>IFERROR(IF(FIND("5",$D102),L$1,""),"")</f>
        <v>Fri</v>
      </c>
      <c r="M102" s="4" t="e">
        <f t="array" aca="1" ref="M102" ca="1">_xludf.CONCAT("every ",_xludf.TEXTJOIN(", ", TRUE, IF(H102:L102&lt;&gt;"", H102:L102, "")))</f>
        <v>#NAME?</v>
      </c>
    </row>
    <row r="103" spans="1:13" ht="15.75" customHeight="1" x14ac:dyDescent="0.25">
      <c r="A103" s="2" t="s">
        <v>23</v>
      </c>
      <c r="B103" s="2" t="s">
        <v>549</v>
      </c>
      <c r="C103" s="5" t="s">
        <v>26</v>
      </c>
      <c r="D103" s="3">
        <v>5</v>
      </c>
      <c r="E103" s="2" t="s">
        <v>14</v>
      </c>
      <c r="F103" s="4" t="str">
        <f t="array" ref="F103">INDEX(Tasks!$B:$B, MATCH(C103, Tasks!$A:$A, 0))</f>
        <v>Clean visibly dirty spots.</v>
      </c>
      <c r="G103" s="4" t="e">
        <f t="array" aca="1" ref="G103" ca="1">_xludf.LET(
  _xlpm.task,$C103,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03" s="4" t="str">
        <f>IFERROR(IF(FIND("1",$D103),H$1,""),"")</f>
        <v/>
      </c>
      <c r="I103" s="4" t="str">
        <f>IFERROR(IF(FIND("2",$D103),I$1,""),"")</f>
        <v/>
      </c>
      <c r="J103" s="4" t="str">
        <f>IFERROR(IF(FIND("3",$D103),J$1,""),"")</f>
        <v/>
      </c>
      <c r="K103" s="4" t="str">
        <f>IFERROR(IF(FIND("4",$D103),K$1,""),"")</f>
        <v/>
      </c>
      <c r="L103" s="4" t="str">
        <f>IFERROR(IF(FIND("5",$D103),L$1,""),"")</f>
        <v>Fri</v>
      </c>
      <c r="M103" s="4" t="e">
        <f t="array" aca="1" ref="M103" ca="1">_xludf.CONCAT("every ",_xludf.TEXTJOIN(", ", TRUE, IF(H103:L103&lt;&gt;"", H103:L103, "")))</f>
        <v>#NAME?</v>
      </c>
    </row>
    <row r="104" spans="1:13" ht="15.75" customHeight="1" x14ac:dyDescent="0.25">
      <c r="A104" s="2" t="s">
        <v>23</v>
      </c>
      <c r="B104" s="2" t="s">
        <v>549</v>
      </c>
      <c r="C104" s="2" t="s">
        <v>13</v>
      </c>
      <c r="D104" s="3">
        <v>4</v>
      </c>
      <c r="E104" s="3" t="s">
        <v>42</v>
      </c>
      <c r="F104" s="4" t="str">
        <f t="array" ref="F104">INDEX(Tasks!$B:$B, MATCH(C104, Tasks!$A:$A, 0))</f>
        <v>Use Backpack Vacuum.</v>
      </c>
      <c r="G104" s="4" t="e">
        <f t="array" aca="1" ref="G104" ca="1">_xludf.LET(
  _xlpm.task,$C104,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04" s="4" t="str">
        <f>IFERROR(IF(FIND("1",$D104),H$1,""),"")</f>
        <v/>
      </c>
      <c r="I104" s="4" t="str">
        <f>IFERROR(IF(FIND("2",$D104),I$1,""),"")</f>
        <v/>
      </c>
      <c r="J104" s="4" t="str">
        <f>IFERROR(IF(FIND("3",$D104),J$1,""),"")</f>
        <v/>
      </c>
      <c r="K104" s="4" t="str">
        <f>IFERROR(IF(FIND("4",$D104),K$1,""),"")</f>
        <v>Thu</v>
      </c>
      <c r="L104" s="4" t="str">
        <f>IFERROR(IF(FIND("5",$D104),L$1,""),"")</f>
        <v/>
      </c>
      <c r="M104" s="4" t="e">
        <f t="array" aca="1" ref="M104" ca="1">_xludf.CONCAT("every ",_xludf.TEXTJOIN(", ", TRUE, IF(H104:L104&lt;&gt;"", H104:L104, "")))</f>
        <v>#NAME?</v>
      </c>
    </row>
    <row r="105" spans="1:13" ht="15.75" customHeight="1" x14ac:dyDescent="0.25">
      <c r="A105" s="2" t="s">
        <v>23</v>
      </c>
      <c r="B105" s="2" t="s">
        <v>550</v>
      </c>
      <c r="C105" s="5" t="s">
        <v>31</v>
      </c>
      <c r="D105" s="3">
        <v>5</v>
      </c>
      <c r="E105" s="2" t="s">
        <v>14</v>
      </c>
      <c r="F105" s="4" t="str">
        <f t="array" ref="F105">INDEX(Tasks!$B:$B, MATCH(C105, Tasks!$A:$A, 0))</f>
        <v>Use Carpet Machine to clean Coffee Stains.</v>
      </c>
      <c r="G105" s="4" t="e">
        <f t="array" aca="1" ref="G105" ca="1">_xludf.LET(
  _xlpm.task,$C105,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05" s="4" t="str">
        <f>IFERROR(IF(FIND("1",$D105),H$1,""),"")</f>
        <v/>
      </c>
      <c r="I105" s="4" t="str">
        <f>IFERROR(IF(FIND("2",$D105),I$1,""),"")</f>
        <v/>
      </c>
      <c r="J105" s="4" t="str">
        <f>IFERROR(IF(FIND("3",$D105),J$1,""),"")</f>
        <v/>
      </c>
      <c r="K105" s="4" t="str">
        <f>IFERROR(IF(FIND("4",$D105),K$1,""),"")</f>
        <v/>
      </c>
      <c r="L105" s="4" t="str">
        <f>IFERROR(IF(FIND("5",$D105),L$1,""),"")</f>
        <v>Fri</v>
      </c>
      <c r="M105" s="4" t="e">
        <f t="array" aca="1" ref="M105" ca="1">_xludf.CONCAT("every ",_xludf.TEXTJOIN(", ", TRUE, IF(H105:L105&lt;&gt;"", H105:L105, "")))</f>
        <v>#NAME?</v>
      </c>
    </row>
    <row r="106" spans="1:13" ht="15.75" customHeight="1" x14ac:dyDescent="0.25">
      <c r="A106" s="2" t="s">
        <v>23</v>
      </c>
      <c r="B106" s="2" t="s">
        <v>550</v>
      </c>
      <c r="C106" s="5" t="s">
        <v>49</v>
      </c>
      <c r="D106" s="3">
        <v>5</v>
      </c>
      <c r="E106" s="2" t="s">
        <v>42</v>
      </c>
      <c r="F106" s="4" t="str">
        <f t="array" ref="F106">INDEX(Tasks!$B:$B, MATCH(C106, Tasks!$A:$A, 0))</f>
        <v>Spray 2in1 on fountain and wipe off with Paper Towels.</v>
      </c>
      <c r="G106" s="4" t="e">
        <f t="array" aca="1" ref="G106" ca="1">_xludf.LET(
  _xlpm.task,$C106,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06" s="4" t="str">
        <f>IFERROR(IF(FIND("1",$D106),H$1,""),"")</f>
        <v/>
      </c>
      <c r="I106" s="4" t="str">
        <f>IFERROR(IF(FIND("2",$D106),I$1,""),"")</f>
        <v/>
      </c>
      <c r="J106" s="4" t="str">
        <f>IFERROR(IF(FIND("3",$D106),J$1,""),"")</f>
        <v/>
      </c>
      <c r="K106" s="4" t="str">
        <f>IFERROR(IF(FIND("4",$D106),K$1,""),"")</f>
        <v/>
      </c>
      <c r="L106" s="4" t="str">
        <f>IFERROR(IF(FIND("5",$D106),L$1,""),"")</f>
        <v>Fri</v>
      </c>
      <c r="M106" s="4" t="e">
        <f t="array" aca="1" ref="M106" ca="1">_xludf.CONCAT("every ",_xludf.TEXTJOIN(", ", TRUE, IF(H106:L106&lt;&gt;"", H106:L106, "")))</f>
        <v>#NAME?</v>
      </c>
    </row>
    <row r="107" spans="1:13" ht="15.75" customHeight="1" x14ac:dyDescent="0.25">
      <c r="A107" s="2" t="s">
        <v>23</v>
      </c>
      <c r="B107" s="2" t="s">
        <v>550</v>
      </c>
      <c r="C107" s="5" t="s">
        <v>26</v>
      </c>
      <c r="D107" s="3">
        <v>5</v>
      </c>
      <c r="E107" s="2" t="s">
        <v>14</v>
      </c>
      <c r="F107" s="4" t="str">
        <f t="array" ref="F107">INDEX(Tasks!$B:$B, MATCH(C107, Tasks!$A:$A, 0))</f>
        <v>Clean visibly dirty spots.</v>
      </c>
      <c r="G107" s="4" t="e">
        <f t="array" aca="1" ref="G107" ca="1">_xludf.LET(
  _xlpm.task,$C107,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07" s="4" t="str">
        <f>IFERROR(IF(FIND("1",$D107),H$1,""),"")</f>
        <v/>
      </c>
      <c r="I107" s="4" t="str">
        <f>IFERROR(IF(FIND("2",$D107),I$1,""),"")</f>
        <v/>
      </c>
      <c r="J107" s="4" t="str">
        <f>IFERROR(IF(FIND("3",$D107),J$1,""),"")</f>
        <v/>
      </c>
      <c r="K107" s="4" t="str">
        <f>IFERROR(IF(FIND("4",$D107),K$1,""),"")</f>
        <v/>
      </c>
      <c r="L107" s="4" t="str">
        <f>IFERROR(IF(FIND("5",$D107),L$1,""),"")</f>
        <v>Fri</v>
      </c>
      <c r="M107" s="4" t="e">
        <f t="array" aca="1" ref="M107" ca="1">_xludf.CONCAT("every ",_xludf.TEXTJOIN(", ", TRUE, IF(H107:L107&lt;&gt;"", H107:L107, "")))</f>
        <v>#NAME?</v>
      </c>
    </row>
    <row r="108" spans="1:13" ht="15.75" customHeight="1" x14ac:dyDescent="0.25">
      <c r="A108" s="2" t="s">
        <v>23</v>
      </c>
      <c r="B108" s="2" t="s">
        <v>550</v>
      </c>
      <c r="C108" s="2" t="s">
        <v>13</v>
      </c>
      <c r="D108" s="3">
        <v>4</v>
      </c>
      <c r="E108" s="3" t="s">
        <v>42</v>
      </c>
      <c r="F108" s="4" t="str">
        <f t="array" ref="F108">INDEX(Tasks!$B:$B, MATCH(C108, Tasks!$A:$A, 0))</f>
        <v>Use Backpack Vacuum.</v>
      </c>
      <c r="G108" s="4" t="e">
        <f t="array" aca="1" ref="G108" ca="1">_xludf.LET(
  _xlpm.task,$C108,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08" s="4" t="str">
        <f>IFERROR(IF(FIND("1",$D108),H$1,""),"")</f>
        <v/>
      </c>
      <c r="I108" s="4" t="str">
        <f>IFERROR(IF(FIND("2",$D108),I$1,""),"")</f>
        <v/>
      </c>
      <c r="J108" s="4" t="str">
        <f>IFERROR(IF(FIND("3",$D108),J$1,""),"")</f>
        <v/>
      </c>
      <c r="K108" s="4" t="str">
        <f>IFERROR(IF(FIND("4",$D108),K$1,""),"")</f>
        <v>Thu</v>
      </c>
      <c r="L108" s="4" t="str">
        <f>IFERROR(IF(FIND("5",$D108),L$1,""),"")</f>
        <v/>
      </c>
      <c r="M108" s="4" t="e">
        <f t="array" aca="1" ref="M108" ca="1">_xludf.CONCAT("every ",_xludf.TEXTJOIN(", ", TRUE, IF(H108:L108&lt;&gt;"", H108:L108, "")))</f>
        <v>#NAME?</v>
      </c>
    </row>
    <row r="109" spans="1:13" ht="15.75" customHeight="1" x14ac:dyDescent="0.25">
      <c r="A109" s="2" t="s">
        <v>23</v>
      </c>
      <c r="B109" s="2" t="s">
        <v>50</v>
      </c>
      <c r="C109" s="5" t="s">
        <v>24</v>
      </c>
      <c r="D109" s="3">
        <v>2</v>
      </c>
      <c r="E109" s="2" t="s">
        <v>42</v>
      </c>
      <c r="F109" s="4" t="str">
        <f t="array" ref="F109">INDEX(Tasks!$B:$B, MATCH(C109, Tasks!$A:$A, 0))</f>
        <v>Empty trash being careful of leaking bags.</v>
      </c>
      <c r="G109" s="4" t="e">
        <f t="array" aca="1" ref="G109" ca="1">_xludf.LET(
  _xlpm.task,$C109,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09" s="4" t="str">
        <f>IFERROR(IF(FIND("1",$D109),H$1,""),"")</f>
        <v/>
      </c>
      <c r="I109" s="4" t="str">
        <f>IFERROR(IF(FIND("2",$D109),I$1,""),"")</f>
        <v>Tue</v>
      </c>
      <c r="J109" s="4" t="str">
        <f>IFERROR(IF(FIND("3",$D109),J$1,""),"")</f>
        <v/>
      </c>
      <c r="K109" s="4" t="str">
        <f>IFERROR(IF(FIND("4",$D109),K$1,""),"")</f>
        <v/>
      </c>
      <c r="L109" s="4" t="str">
        <f>IFERROR(IF(FIND("5",$D109),L$1,""),"")</f>
        <v/>
      </c>
      <c r="M109" s="4" t="e">
        <f t="array" aca="1" ref="M109" ca="1">_xludf.CONCAT("every ",_xludf.TEXTJOIN(", ", TRUE, IF(H109:L109&lt;&gt;"", H109:L109, "")))</f>
        <v>#NAME?</v>
      </c>
    </row>
    <row r="110" spans="1:13" ht="15.75" customHeight="1" x14ac:dyDescent="0.25">
      <c r="A110" s="2" t="s">
        <v>12</v>
      </c>
      <c r="B110" s="2" t="s">
        <v>50</v>
      </c>
      <c r="C110" s="5" t="s">
        <v>24</v>
      </c>
      <c r="D110" s="3">
        <v>3</v>
      </c>
      <c r="E110" s="2" t="s">
        <v>42</v>
      </c>
      <c r="F110" s="4" t="str">
        <f t="array" ref="F110">INDEX(Tasks!$B:$B, MATCH(C110, Tasks!$A:$A, 0))</f>
        <v>Empty trash being careful of leaking bags.</v>
      </c>
      <c r="G110" s="4" t="e">
        <f t="array" aca="1" ref="G110" ca="1">_xludf.LET(
  _xlpm.task,$C110,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10" s="4" t="str">
        <f>IFERROR(IF(FIND("1",$D110),H$1,""),"")</f>
        <v/>
      </c>
      <c r="I110" s="4" t="str">
        <f>IFERROR(IF(FIND("2",$D110),I$1,""),"")</f>
        <v/>
      </c>
      <c r="J110" s="4" t="str">
        <f>IFERROR(IF(FIND("3",$D110),J$1,""),"")</f>
        <v>Wed</v>
      </c>
      <c r="K110" s="4" t="str">
        <f>IFERROR(IF(FIND("4",$D110),K$1,""),"")</f>
        <v/>
      </c>
      <c r="L110" s="4" t="str">
        <f>IFERROR(IF(FIND("5",$D110),L$1,""),"")</f>
        <v/>
      </c>
      <c r="M110" s="4" t="e">
        <f t="array" aca="1" ref="M110" ca="1">_xludf.CONCAT("every ",_xludf.TEXTJOIN(", ", TRUE, IF(H110:L110&lt;&gt;"", H110:L110, "")))</f>
        <v>#NAME?</v>
      </c>
    </row>
    <row r="111" spans="1:13" ht="15.75" customHeight="1" x14ac:dyDescent="0.25">
      <c r="A111" s="2" t="s">
        <v>23</v>
      </c>
      <c r="B111" s="2" t="s">
        <v>50</v>
      </c>
      <c r="C111" s="2" t="s">
        <v>29</v>
      </c>
      <c r="D111" s="3">
        <v>2</v>
      </c>
      <c r="E111" s="2" t="s">
        <v>42</v>
      </c>
      <c r="F111" s="4" t="str">
        <f t="array" ref="F111">INDEX(Tasks!$B:$B, MATCH(C111, Tasks!$A:$A, 0))</f>
        <v>Mix 6oz floor cleaner and 3gal hot water in mop bucket.</v>
      </c>
      <c r="G111" s="4" t="e">
        <f t="array" aca="1" ref="G111" ca="1">_xludf.LET(
  _xlpm.task,$C111,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11" s="4" t="str">
        <f>IFERROR(IF(FIND("1",$D111),H$1,""),"")</f>
        <v/>
      </c>
      <c r="I111" s="4" t="str">
        <f>IFERROR(IF(FIND("2",$D111),I$1,""),"")</f>
        <v>Tue</v>
      </c>
      <c r="J111" s="4" t="str">
        <f>IFERROR(IF(FIND("3",$D111),J$1,""),"")</f>
        <v/>
      </c>
      <c r="K111" s="4" t="str">
        <f>IFERROR(IF(FIND("4",$D111),K$1,""),"")</f>
        <v/>
      </c>
      <c r="L111" s="4" t="str">
        <f>IFERROR(IF(FIND("5",$D111),L$1,""),"")</f>
        <v/>
      </c>
      <c r="M111" s="4" t="e">
        <f t="array" aca="1" ref="M111" ca="1">_xludf.CONCAT("every ",_xludf.TEXTJOIN(", ", TRUE, IF(H111:L111&lt;&gt;"", H111:L111, "")))</f>
        <v>#NAME?</v>
      </c>
    </row>
    <row r="112" spans="1:13" ht="15.75" customHeight="1" x14ac:dyDescent="0.25">
      <c r="A112" s="2" t="s">
        <v>12</v>
      </c>
      <c r="B112" s="2" t="s">
        <v>50</v>
      </c>
      <c r="C112" s="2" t="s">
        <v>29</v>
      </c>
      <c r="D112" s="3">
        <v>3</v>
      </c>
      <c r="E112" s="2" t="s">
        <v>42</v>
      </c>
      <c r="F112" s="4" t="str">
        <f t="array" ref="F112">INDEX(Tasks!$B:$B, MATCH(C112, Tasks!$A:$A, 0))</f>
        <v>Mix 6oz floor cleaner and 3gal hot water in mop bucket.</v>
      </c>
      <c r="G112" s="4" t="e">
        <f t="array" aca="1" ref="G112" ca="1">_xludf.LET(
  _xlpm.task,$C112,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12" s="4" t="str">
        <f>IFERROR(IF(FIND("1",$D112),H$1,""),"")</f>
        <v/>
      </c>
      <c r="I112" s="4" t="str">
        <f>IFERROR(IF(FIND("2",$D112),I$1,""),"")</f>
        <v/>
      </c>
      <c r="J112" s="4" t="str">
        <f>IFERROR(IF(FIND("3",$D112),J$1,""),"")</f>
        <v>Wed</v>
      </c>
      <c r="K112" s="4" t="str">
        <f>IFERROR(IF(FIND("4",$D112),K$1,""),"")</f>
        <v/>
      </c>
      <c r="L112" s="4" t="str">
        <f>IFERROR(IF(FIND("5",$D112),L$1,""),"")</f>
        <v/>
      </c>
      <c r="M112" s="4" t="e">
        <f t="array" aca="1" ref="M112" ca="1">_xludf.CONCAT("every ",_xludf.TEXTJOIN(", ", TRUE, IF(H112:L112&lt;&gt;"", H112:L112, "")))</f>
        <v>#NAME?</v>
      </c>
    </row>
    <row r="113" spans="1:13" ht="15.75" customHeight="1" x14ac:dyDescent="0.25">
      <c r="A113" s="2" t="s">
        <v>23</v>
      </c>
      <c r="B113" s="2" t="s">
        <v>50</v>
      </c>
      <c r="C113" s="5" t="s">
        <v>43</v>
      </c>
      <c r="D113" s="3">
        <v>2</v>
      </c>
      <c r="E113" s="2" t="s">
        <v>42</v>
      </c>
      <c r="F113" s="4" t="str">
        <f t="array" ref="F113">INDEX(Tasks!$B:$B, MATCH(C113, Tasks!$A:$A, 0))</f>
        <v>Use Barkeepers Friend in bowl, Scrub with sink brush. Finish with 2in1 and Paper Towels.</v>
      </c>
      <c r="G113" s="4" t="e">
        <f t="array" aca="1" ref="G113" ca="1">_xludf.LET(
  _xlpm.task,$C113,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13" s="4" t="str">
        <f>IFERROR(IF(FIND("1",$D113),H$1,""),"")</f>
        <v/>
      </c>
      <c r="I113" s="4" t="str">
        <f>IFERROR(IF(FIND("2",$D113),I$1,""),"")</f>
        <v>Tue</v>
      </c>
      <c r="J113" s="4" t="str">
        <f>IFERROR(IF(FIND("3",$D113),J$1,""),"")</f>
        <v/>
      </c>
      <c r="K113" s="4" t="str">
        <f>IFERROR(IF(FIND("4",$D113),K$1,""),"")</f>
        <v/>
      </c>
      <c r="L113" s="4" t="str">
        <f>IFERROR(IF(FIND("5",$D113),L$1,""),"")</f>
        <v/>
      </c>
      <c r="M113" s="4" t="e">
        <f t="array" aca="1" ref="M113" ca="1">_xludf.CONCAT("every ",_xludf.TEXTJOIN(", ", TRUE, IF(H113:L113&lt;&gt;"", H113:L113, "")))</f>
        <v>#NAME?</v>
      </c>
    </row>
    <row r="114" spans="1:13" ht="15.75" customHeight="1" x14ac:dyDescent="0.25">
      <c r="A114" s="2" t="s">
        <v>23</v>
      </c>
      <c r="B114" s="2" t="s">
        <v>50</v>
      </c>
      <c r="C114" s="5" t="s">
        <v>44</v>
      </c>
      <c r="D114" s="3">
        <v>2</v>
      </c>
      <c r="E114" s="2" t="s">
        <v>42</v>
      </c>
      <c r="F114" s="4" t="str">
        <f t="array" ref="F114">INDEX(Tasks!$B:$B, MATCH(C114, Tasks!$A:$A, 0))</f>
        <v>Refill Paper Towels and hand soap.</v>
      </c>
      <c r="G114" s="4" t="e">
        <f t="array" aca="1" ref="G114" ca="1">_xludf.LET(
  _xlpm.task,$C114,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14" s="4" t="str">
        <f>IFERROR(IF(FIND("1",$D114),H$1,""),"")</f>
        <v/>
      </c>
      <c r="I114" s="4" t="str">
        <f>IFERROR(IF(FIND("2",$D114),I$1,""),"")</f>
        <v>Tue</v>
      </c>
      <c r="J114" s="4" t="str">
        <f>IFERROR(IF(FIND("3",$D114),J$1,""),"")</f>
        <v/>
      </c>
      <c r="K114" s="4" t="str">
        <f>IFERROR(IF(FIND("4",$D114),K$1,""),"")</f>
        <v/>
      </c>
      <c r="L114" s="4" t="str">
        <f>IFERROR(IF(FIND("5",$D114),L$1,""),"")</f>
        <v/>
      </c>
      <c r="M114" s="4" t="e">
        <f t="array" aca="1" ref="M114" ca="1">_xludf.CONCAT("every ",_xludf.TEXTJOIN(", ", TRUE, IF(H114:L114&lt;&gt;"", H114:L114, "")))</f>
        <v>#NAME?</v>
      </c>
    </row>
    <row r="115" spans="1:13" ht="15.75" customHeight="1" x14ac:dyDescent="0.25">
      <c r="A115" s="2" t="s">
        <v>12</v>
      </c>
      <c r="B115" s="2" t="s">
        <v>50</v>
      </c>
      <c r="C115" s="5" t="s">
        <v>44</v>
      </c>
      <c r="D115" s="3">
        <v>3</v>
      </c>
      <c r="E115" s="2" t="s">
        <v>42</v>
      </c>
      <c r="F115" s="4" t="str">
        <f t="array" ref="F115">INDEX(Tasks!$B:$B, MATCH(C115, Tasks!$A:$A, 0))</f>
        <v>Refill Paper Towels and hand soap.</v>
      </c>
      <c r="G115" s="4" t="e">
        <f t="array" aca="1" ref="G115" ca="1">_xludf.LET(
  _xlpm.task,$C115,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15" s="4" t="str">
        <f>IFERROR(IF(FIND("1",$D115),H$1,""),"")</f>
        <v/>
      </c>
      <c r="I115" s="4" t="str">
        <f>IFERROR(IF(FIND("2",$D115),I$1,""),"")</f>
        <v/>
      </c>
      <c r="J115" s="4" t="str">
        <f>IFERROR(IF(FIND("3",$D115),J$1,""),"")</f>
        <v>Wed</v>
      </c>
      <c r="K115" s="4" t="str">
        <f>IFERROR(IF(FIND("4",$D115),K$1,""),"")</f>
        <v/>
      </c>
      <c r="L115" s="4" t="str">
        <f>IFERROR(IF(FIND("5",$D115),L$1,""),"")</f>
        <v/>
      </c>
      <c r="M115" s="4" t="e">
        <f t="array" aca="1" ref="M115" ca="1">_xludf.CONCAT("every ",_xludf.TEXTJOIN(", ", TRUE, IF(H115:L115&lt;&gt;"", H115:L115, "")))</f>
        <v>#NAME?</v>
      </c>
    </row>
    <row r="116" spans="1:13" ht="15.75" customHeight="1" x14ac:dyDescent="0.25">
      <c r="A116" s="2" t="s">
        <v>23</v>
      </c>
      <c r="B116" s="2" t="s">
        <v>50</v>
      </c>
      <c r="C116" s="2" t="s">
        <v>17</v>
      </c>
      <c r="D116" s="3">
        <v>2</v>
      </c>
      <c r="E116" s="2" t="s">
        <v>42</v>
      </c>
      <c r="F116" s="4" t="str">
        <f t="array" ref="F116">INDEX(Tasks!$B:$B, MATCH(C116, Tasks!$A:$A, 0))</f>
        <v>Sweep Floors with broom.</v>
      </c>
      <c r="G116" s="4" t="e">
        <f t="array" aca="1" ref="G116" ca="1">_xludf.LET(
  _xlpm.task,$C116,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16" s="4" t="str">
        <f>IFERROR(IF(FIND("1",$D116),H$1,""),"")</f>
        <v/>
      </c>
      <c r="I116" s="4" t="str">
        <f>IFERROR(IF(FIND("2",$D116),I$1,""),"")</f>
        <v>Tue</v>
      </c>
      <c r="J116" s="4" t="str">
        <f>IFERROR(IF(FIND("3",$D116),J$1,""),"")</f>
        <v/>
      </c>
      <c r="K116" s="4" t="str">
        <f>IFERROR(IF(FIND("4",$D116),K$1,""),"")</f>
        <v/>
      </c>
      <c r="L116" s="4" t="str">
        <f>IFERROR(IF(FIND("5",$D116),L$1,""),"")</f>
        <v/>
      </c>
      <c r="M116" s="4" t="e">
        <f t="array" aca="1" ref="M116" ca="1">_xludf.CONCAT("every ",_xludf.TEXTJOIN(", ", TRUE, IF(H116:L116&lt;&gt;"", H116:L116, "")))</f>
        <v>#NAME?</v>
      </c>
    </row>
    <row r="117" spans="1:13" ht="15.75" customHeight="1" x14ac:dyDescent="0.25">
      <c r="A117" s="2" t="s">
        <v>12</v>
      </c>
      <c r="B117" s="2" t="s">
        <v>50</v>
      </c>
      <c r="C117" s="2" t="s">
        <v>17</v>
      </c>
      <c r="D117" s="3">
        <v>3</v>
      </c>
      <c r="E117" s="2" t="s">
        <v>42</v>
      </c>
      <c r="F117" s="4" t="str">
        <f t="array" ref="F117">INDEX(Tasks!$B:$B, MATCH(C117, Tasks!$A:$A, 0))</f>
        <v>Sweep Floors with broom.</v>
      </c>
      <c r="G117" s="4" t="e">
        <f t="array" aca="1" ref="G117" ca="1">_xludf.LET(
  _xlpm.task,$C117,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17" s="4" t="str">
        <f>IFERROR(IF(FIND("1",$D117),H$1,""),"")</f>
        <v/>
      </c>
      <c r="I117" s="4" t="str">
        <f>IFERROR(IF(FIND("2",$D117),I$1,""),"")</f>
        <v/>
      </c>
      <c r="J117" s="4" t="str">
        <f>IFERROR(IF(FIND("3",$D117),J$1,""),"")</f>
        <v>Wed</v>
      </c>
      <c r="K117" s="4" t="str">
        <f>IFERROR(IF(FIND("4",$D117),K$1,""),"")</f>
        <v/>
      </c>
      <c r="L117" s="4" t="str">
        <f>IFERROR(IF(FIND("5",$D117),L$1,""),"")</f>
        <v/>
      </c>
      <c r="M117" s="4" t="e">
        <f t="array" aca="1" ref="M117" ca="1">_xludf.CONCAT("every ",_xludf.TEXTJOIN(", ", TRUE, IF(H117:L117&lt;&gt;"", H117:L117, "")))</f>
        <v>#NAME?</v>
      </c>
    </row>
    <row r="118" spans="1:13" ht="15.75" customHeight="1" x14ac:dyDescent="0.25">
      <c r="A118" s="7" t="s">
        <v>23</v>
      </c>
      <c r="B118" s="7" t="s">
        <v>50</v>
      </c>
      <c r="C118" s="7" t="s">
        <v>51</v>
      </c>
      <c r="D118" s="3">
        <v>3</v>
      </c>
      <c r="E118" s="7" t="s">
        <v>42</v>
      </c>
      <c r="F118" s="4" t="str">
        <f t="array" ref="F118">INDEX(Tasks!$B:$B, MATCH(C118, Tasks!$A:$A, 0))</f>
        <v>Collect Towels from kitchens and janitorial closets in both buildings. Wash in Laundry Machine. Fold and return.</v>
      </c>
      <c r="G118" s="4" t="e">
        <f t="array" aca="1" ref="G118" ca="1">_xludf.LET(
  _xlpm.task,$C118,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18" s="4" t="str">
        <f>IFERROR(IF(FIND("1",$D118),H$1,""),"")</f>
        <v/>
      </c>
      <c r="I118" s="4" t="str">
        <f>IFERROR(IF(FIND("2",$D118),I$1,""),"")</f>
        <v/>
      </c>
      <c r="J118" s="4" t="str">
        <f>IFERROR(IF(FIND("3",$D118),J$1,""),"")</f>
        <v>Wed</v>
      </c>
      <c r="K118" s="4" t="str">
        <f>IFERROR(IF(FIND("4",$D118),K$1,""),"")</f>
        <v/>
      </c>
      <c r="L118" s="4" t="str">
        <f>IFERROR(IF(FIND("5",$D118),L$1,""),"")</f>
        <v/>
      </c>
      <c r="M118" s="4" t="e">
        <f t="array" aca="1" ref="M118" ca="1">_xludf.CONCAT("every ",_xludf.TEXTJOIN(", ", TRUE, IF(H118:L118&lt;&gt;"", H118:L118, "")))</f>
        <v>#NAME?</v>
      </c>
    </row>
    <row r="119" spans="1:13" ht="15.75" customHeight="1" x14ac:dyDescent="0.25">
      <c r="A119" s="7" t="s">
        <v>12</v>
      </c>
      <c r="B119" s="7" t="s">
        <v>50</v>
      </c>
      <c r="C119" s="7" t="s">
        <v>51</v>
      </c>
      <c r="D119" s="3">
        <v>3</v>
      </c>
      <c r="E119" s="7" t="s">
        <v>42</v>
      </c>
      <c r="F119" s="4" t="str">
        <f t="array" ref="F119">INDEX(Tasks!$B:$B, MATCH(C119, Tasks!$A:$A, 0))</f>
        <v>Collect Towels from kitchens and janitorial closets in both buildings. Wash in Laundry Machine. Fold and return.</v>
      </c>
      <c r="G119" s="4" t="e">
        <f t="array" aca="1" ref="G119" ca="1">_xludf.LET(
  _xlpm.task,$C119,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19" s="4" t="str">
        <f>IFERROR(IF(FIND("1",$D119),H$1,""),"")</f>
        <v/>
      </c>
      <c r="I119" s="4" t="str">
        <f>IFERROR(IF(FIND("2",$D119),I$1,""),"")</f>
        <v/>
      </c>
      <c r="J119" s="4" t="str">
        <f>IFERROR(IF(FIND("3",$D119),J$1,""),"")</f>
        <v>Wed</v>
      </c>
      <c r="K119" s="4" t="str">
        <f>IFERROR(IF(FIND("4",$D119),K$1,""),"")</f>
        <v/>
      </c>
      <c r="L119" s="4" t="str">
        <f>IFERROR(IF(FIND("5",$D119),L$1,""),"")</f>
        <v/>
      </c>
      <c r="M119" s="4" t="e">
        <f t="array" aca="1" ref="M119" ca="1">_xludf.CONCAT("every ",_xludf.TEXTJOIN(", ", TRUE, IF(H119:L119&lt;&gt;"", H119:L119, "")))</f>
        <v>#NAME?</v>
      </c>
    </row>
    <row r="120" spans="1:13" ht="15.75" customHeight="1" x14ac:dyDescent="0.25">
      <c r="A120" s="2" t="s">
        <v>12</v>
      </c>
      <c r="B120" s="2" t="s">
        <v>50</v>
      </c>
      <c r="C120" s="5" t="s">
        <v>45</v>
      </c>
      <c r="D120" s="3">
        <v>3</v>
      </c>
      <c r="E120" s="2" t="s">
        <v>42</v>
      </c>
      <c r="F120" s="4" t="str">
        <f t="array" ref="F120">INDEX(Tasks!$B:$B, MATCH(C120, Tasks!$A:$A, 0))</f>
        <v>Spray with 2in1, wipe with Paper Towel.</v>
      </c>
      <c r="G120" s="4" t="e">
        <f t="array" aca="1" ref="G120" ca="1">_xludf.LET(
  _xlpm.task,$C120,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20" s="4" t="str">
        <f>IFERROR(IF(FIND("1",$D120),H$1,""),"")</f>
        <v/>
      </c>
      <c r="I120" s="4" t="str">
        <f>IFERROR(IF(FIND("2",$D120),I$1,""),"")</f>
        <v/>
      </c>
      <c r="J120" s="4" t="str">
        <f>IFERROR(IF(FIND("3",$D120),J$1,""),"")</f>
        <v>Wed</v>
      </c>
      <c r="K120" s="4" t="str">
        <f>IFERROR(IF(FIND("4",$D120),K$1,""),"")</f>
        <v/>
      </c>
      <c r="L120" s="4" t="str">
        <f>IFERROR(IF(FIND("5",$D120),L$1,""),"")</f>
        <v/>
      </c>
      <c r="M120" s="4" t="e">
        <f t="array" aca="1" ref="M120" ca="1">_xludf.CONCAT("every ",_xludf.TEXTJOIN(", ", TRUE, IF(H120:L120&lt;&gt;"", H120:L120, "")))</f>
        <v>#NAME?</v>
      </c>
    </row>
    <row r="121" spans="1:13" ht="15.75" customHeight="1" x14ac:dyDescent="0.25">
      <c r="A121" s="2" t="s">
        <v>12</v>
      </c>
      <c r="B121" s="2" t="s">
        <v>50</v>
      </c>
      <c r="C121" s="5" t="s">
        <v>18</v>
      </c>
      <c r="D121" s="3">
        <v>3</v>
      </c>
      <c r="E121" s="2" t="s">
        <v>42</v>
      </c>
      <c r="F121" s="4" t="str">
        <f t="array" ref="F121">INDEX(Tasks!$B:$B, MATCH(C121, Tasks!$A:$A, 0))</f>
        <v>Spray with 2in1, wipe with Paper Towel.</v>
      </c>
      <c r="G121" s="4" t="e">
        <f t="array" aca="1" ref="G121" ca="1">_xludf.LET(
  _xlpm.task,$C121,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21" s="4" t="str">
        <f>IFERROR(IF(FIND("1",$D121),H$1,""),"")</f>
        <v/>
      </c>
      <c r="I121" s="4" t="str">
        <f>IFERROR(IF(FIND("2",$D121),I$1,""),"")</f>
        <v/>
      </c>
      <c r="J121" s="4" t="str">
        <f>IFERROR(IF(FIND("3",$D121),J$1,""),"")</f>
        <v>Wed</v>
      </c>
      <c r="K121" s="4" t="str">
        <f>IFERROR(IF(FIND("4",$D121),K$1,""),"")</f>
        <v/>
      </c>
      <c r="L121" s="4" t="str">
        <f>IFERROR(IF(FIND("5",$D121),L$1,""),"")</f>
        <v/>
      </c>
      <c r="M121" s="4" t="e">
        <f t="array" aca="1" ref="M121" ca="1">_xludf.CONCAT("every ",_xludf.TEXTJOIN(", ", TRUE, IF(H121:L121&lt;&gt;"", H121:L121, "")))</f>
        <v>#NAME?</v>
      </c>
    </row>
    <row r="122" spans="1:13" ht="15.75" customHeight="1" x14ac:dyDescent="0.25">
      <c r="A122" s="2" t="s">
        <v>12</v>
      </c>
      <c r="B122" s="2" t="s">
        <v>32</v>
      </c>
      <c r="C122" s="5" t="s">
        <v>24</v>
      </c>
      <c r="D122" s="3">
        <v>3</v>
      </c>
      <c r="E122" s="2" t="s">
        <v>42</v>
      </c>
      <c r="F122" s="4" t="str">
        <f t="array" ref="F122">INDEX(Tasks!$B:$B, MATCH(C122, Tasks!$A:$A, 0))</f>
        <v>Empty trash being careful of leaking bags.</v>
      </c>
      <c r="G122" s="4" t="e">
        <f t="array" aca="1" ref="G122" ca="1">_xludf.LET(
  _xlpm.task,$C122,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22" s="4" t="str">
        <f>IFERROR(IF(FIND("1",$D122),H$1,""),"")</f>
        <v/>
      </c>
      <c r="I122" s="4" t="str">
        <f>IFERROR(IF(FIND("2",$D122),I$1,""),"")</f>
        <v/>
      </c>
      <c r="J122" s="4" t="str">
        <f>IFERROR(IF(FIND("3",$D122),J$1,""),"")</f>
        <v>Wed</v>
      </c>
      <c r="K122" s="4" t="str">
        <f>IFERROR(IF(FIND("4",$D122),K$1,""),"")</f>
        <v/>
      </c>
      <c r="L122" s="4" t="str">
        <f>IFERROR(IF(FIND("5",$D122),L$1,""),"")</f>
        <v/>
      </c>
      <c r="M122" s="4" t="e">
        <f t="array" aca="1" ref="M122" ca="1">_xludf.CONCAT("every ",_xludf.TEXTJOIN(", ", TRUE, IF(H122:L122&lt;&gt;"", H122:L122, "")))</f>
        <v>#NAME?</v>
      </c>
    </row>
    <row r="123" spans="1:13" ht="15.75" customHeight="1" x14ac:dyDescent="0.25">
      <c r="A123" s="2" t="s">
        <v>23</v>
      </c>
      <c r="B123" s="2" t="s">
        <v>32</v>
      </c>
      <c r="C123" s="2" t="s">
        <v>33</v>
      </c>
      <c r="D123" s="3">
        <v>5</v>
      </c>
      <c r="E123" s="2" t="s">
        <v>14</v>
      </c>
      <c r="F123" s="4" t="str">
        <f t="array" ref="F123">INDEX(Tasks!$B:$B, MATCH(C123, Tasks!$A:$A, 0))</f>
        <v>Clean handprints off glass doors.</v>
      </c>
      <c r="G123" s="4" t="e">
        <f t="array" aca="1" ref="G123" ca="1">_xludf.LET(
  _xlpm.task,$C123,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23" s="4" t="str">
        <f>IFERROR(IF(FIND("1",$D123),H$1,""),"")</f>
        <v/>
      </c>
      <c r="I123" s="4" t="str">
        <f>IFERROR(IF(FIND("2",$D123),I$1,""),"")</f>
        <v/>
      </c>
      <c r="J123" s="4" t="str">
        <f>IFERROR(IF(FIND("3",$D123),J$1,""),"")</f>
        <v/>
      </c>
      <c r="K123" s="4" t="str">
        <f>IFERROR(IF(FIND("4",$D123),K$1,""),"")</f>
        <v/>
      </c>
      <c r="L123" s="4" t="str">
        <f>IFERROR(IF(FIND("5",$D123),L$1,""),"")</f>
        <v>Fri</v>
      </c>
      <c r="M123" s="4" t="e">
        <f t="array" aca="1" ref="M123" ca="1">_xludf.CONCAT("every ",_xludf.TEXTJOIN(", ", TRUE, IF(H123:L123&lt;&gt;"", H123:L123, "")))</f>
        <v>#NAME?</v>
      </c>
    </row>
    <row r="124" spans="1:13" ht="15.75" customHeight="1" x14ac:dyDescent="0.25">
      <c r="A124" s="2" t="s">
        <v>23</v>
      </c>
      <c r="B124" s="2" t="s">
        <v>32</v>
      </c>
      <c r="C124" s="5" t="s">
        <v>34</v>
      </c>
      <c r="D124" s="3">
        <v>1</v>
      </c>
      <c r="E124" s="2" t="s">
        <v>14</v>
      </c>
      <c r="F124" s="4" t="str">
        <f t="array" ref="F124">INDEX(Tasks!$B:$B, MATCH(C124, Tasks!$A:$A, 0))</f>
        <v>Sweep Stairs with broom.</v>
      </c>
      <c r="G124" s="4" t="e">
        <f t="array" aca="1" ref="G124" ca="1">_xludf.LET(
  _xlpm.task,$C124,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24" s="4" t="str">
        <f>IFERROR(IF(FIND("1",$D124),H$1,""),"")</f>
        <v>Mon</v>
      </c>
      <c r="I124" s="4" t="str">
        <f>IFERROR(IF(FIND("2",$D124),I$1,""),"")</f>
        <v/>
      </c>
      <c r="J124" s="4" t="str">
        <f>IFERROR(IF(FIND("3",$D124),J$1,""),"")</f>
        <v/>
      </c>
      <c r="K124" s="4" t="str">
        <f>IFERROR(IF(FIND("4",$D124),K$1,""),"")</f>
        <v/>
      </c>
      <c r="L124" s="4" t="str">
        <f>IFERROR(IF(FIND("5",$D124),L$1,""),"")</f>
        <v/>
      </c>
      <c r="M124" s="4" t="e">
        <f t="array" aca="1" ref="M124" ca="1">_xludf.CONCAT("every ",_xludf.TEXTJOIN(", ", TRUE, IF(H124:L124&lt;&gt;"", H124:L124, "")))</f>
        <v>#NAME?</v>
      </c>
    </row>
    <row r="125" spans="1:13" ht="15.75" customHeight="1" x14ac:dyDescent="0.25">
      <c r="A125" s="2" t="s">
        <v>23</v>
      </c>
      <c r="B125" s="2" t="s">
        <v>32</v>
      </c>
      <c r="C125" s="2" t="s">
        <v>35</v>
      </c>
      <c r="D125" s="3">
        <v>15</v>
      </c>
      <c r="E125" s="2" t="s">
        <v>14</v>
      </c>
      <c r="F125" s="4" t="str">
        <f t="array" ref="F125">INDEX(Tasks!$B:$B, MATCH(C125, Tasks!$A:$A, 0))</f>
        <v>Use corded Vacuum.</v>
      </c>
      <c r="G125" s="4" t="e">
        <f t="array" aca="1" ref="G125" ca="1">_xludf.LET(
  _xlpm.task,$C125,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25" s="4" t="str">
        <f>IFERROR(IF(FIND("1",$D125),H$1,""),"")</f>
        <v>Mon</v>
      </c>
      <c r="I125" s="4" t="str">
        <f>IFERROR(IF(FIND("2",$D125),I$1,""),"")</f>
        <v/>
      </c>
      <c r="J125" s="4" t="str">
        <f>IFERROR(IF(FIND("3",$D125),J$1,""),"")</f>
        <v/>
      </c>
      <c r="K125" s="4" t="str">
        <f>IFERROR(IF(FIND("4",$D125),K$1,""),"")</f>
        <v/>
      </c>
      <c r="L125" s="4" t="str">
        <f>IFERROR(IF(FIND("5",$D125),L$1,""),"")</f>
        <v>Fri</v>
      </c>
      <c r="M125" s="4" t="e">
        <f t="array" aca="1" ref="M125" ca="1">_xludf.CONCAT("every ",_xludf.TEXTJOIN(", ", TRUE, IF(H125:L125&lt;&gt;"", H125:L125, "")))</f>
        <v>#NAME?</v>
      </c>
    </row>
    <row r="126" spans="1:13" ht="15.75" customHeight="1" x14ac:dyDescent="0.25">
      <c r="A126" s="2" t="s">
        <v>12</v>
      </c>
      <c r="B126" s="2" t="s">
        <v>32</v>
      </c>
      <c r="C126" s="2" t="s">
        <v>13</v>
      </c>
      <c r="D126" s="3">
        <v>3</v>
      </c>
      <c r="E126" s="2" t="s">
        <v>42</v>
      </c>
      <c r="F126" s="4" t="str">
        <f t="array" ref="F126">INDEX(Tasks!$B:$B, MATCH(C126, Tasks!$A:$A, 0))</f>
        <v>Use Backpack Vacuum.</v>
      </c>
      <c r="G126" s="4" t="e">
        <f t="array" aca="1" ref="G126" ca="1">_xludf.LET(
  _xlpm.task,$C126,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26" s="4" t="str">
        <f>IFERROR(IF(FIND("1",$D126),H$1,""),"")</f>
        <v/>
      </c>
      <c r="I126" s="4" t="str">
        <f>IFERROR(IF(FIND("2",$D126),I$1,""),"")</f>
        <v/>
      </c>
      <c r="J126" s="4" t="str">
        <f>IFERROR(IF(FIND("3",$D126),J$1,""),"")</f>
        <v>Wed</v>
      </c>
      <c r="K126" s="4" t="str">
        <f>IFERROR(IF(FIND("4",$D126),K$1,""),"")</f>
        <v/>
      </c>
      <c r="L126" s="4" t="str">
        <f>IFERROR(IF(FIND("5",$D126),L$1,""),"")</f>
        <v/>
      </c>
      <c r="M126" s="4" t="e">
        <f t="array" aca="1" ref="M126" ca="1">_xludf.CONCAT("every ",_xludf.TEXTJOIN(", ", TRUE, IF(H126:L126&lt;&gt;"", H126:L126, "")))</f>
        <v>#NAME?</v>
      </c>
    </row>
    <row r="127" spans="1:13" ht="15.75" customHeight="1" x14ac:dyDescent="0.25">
      <c r="A127" s="2" t="s">
        <v>23</v>
      </c>
      <c r="B127" s="2" t="s">
        <v>32</v>
      </c>
      <c r="C127" s="5" t="s">
        <v>40</v>
      </c>
      <c r="D127" s="3">
        <v>5</v>
      </c>
      <c r="E127" s="2" t="s">
        <v>42</v>
      </c>
      <c r="F127" s="4" t="str">
        <f t="array" ref="F127">INDEX(Tasks!$B:$B, MATCH(C127, Tasks!$A:$A, 0))</f>
        <v>Spray 2in1 on a Paper Towel and wipe down surfaces.</v>
      </c>
      <c r="G127" s="4" t="e">
        <f t="array" aca="1" ref="G127" ca="1">_xludf.LET(
  _xlpm.task,$C127,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27" s="4" t="str">
        <f>IFERROR(IF(FIND("1",$D127),H$1,""),"")</f>
        <v/>
      </c>
      <c r="I127" s="4" t="str">
        <f>IFERROR(IF(FIND("2",$D127),I$1,""),"")</f>
        <v/>
      </c>
      <c r="J127" s="4" t="str">
        <f>IFERROR(IF(FIND("3",$D127),J$1,""),"")</f>
        <v/>
      </c>
      <c r="K127" s="4" t="str">
        <f>IFERROR(IF(FIND("4",$D127),K$1,""),"")</f>
        <v/>
      </c>
      <c r="L127" s="4" t="str">
        <f>IFERROR(IF(FIND("5",$D127),L$1,""),"")</f>
        <v>Fri</v>
      </c>
      <c r="M127" s="4" t="e">
        <f t="array" aca="1" ref="M127" ca="1">_xludf.CONCAT("every ",_xludf.TEXTJOIN(", ", TRUE, IF(H127:L127&lt;&gt;"", H127:L127, "")))</f>
        <v>#NAME?</v>
      </c>
    </row>
    <row r="128" spans="1:13" ht="15.75" customHeight="1" x14ac:dyDescent="0.25">
      <c r="A128" s="2" t="s">
        <v>23</v>
      </c>
      <c r="B128" s="2" t="s">
        <v>551</v>
      </c>
      <c r="C128" s="5" t="s">
        <v>48</v>
      </c>
      <c r="D128" s="3">
        <v>1</v>
      </c>
      <c r="E128" s="2" t="s">
        <v>42</v>
      </c>
      <c r="F128" s="4" t="str">
        <f t="array" ref="F128">INDEX(Tasks!$B:$B, MATCH(C128, Tasks!$A:$A, 0))</f>
        <v>Empty from below.</v>
      </c>
      <c r="G128" s="4" t="e">
        <f t="array" aca="1" ref="G128" ca="1">_xludf.LET(
  _xlpm.task,$C128,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28" s="4" t="str">
        <f>IFERROR(IF(FIND("1",$D128),H$1,""),"")</f>
        <v>Mon</v>
      </c>
      <c r="I128" s="4" t="str">
        <f>IFERROR(IF(FIND("2",$D128),I$1,""),"")</f>
        <v/>
      </c>
      <c r="J128" s="4" t="str">
        <f>IFERROR(IF(FIND("3",$D128),J$1,""),"")</f>
        <v/>
      </c>
      <c r="K128" s="4" t="str">
        <f>IFERROR(IF(FIND("4",$D128),K$1,""),"")</f>
        <v/>
      </c>
      <c r="L128" s="4" t="str">
        <f>IFERROR(IF(FIND("5",$D128),L$1,""),"")</f>
        <v/>
      </c>
      <c r="M128" s="4" t="e">
        <f t="array" aca="1" ref="M128" ca="1">_xludf.CONCAT("every ",_xludf.TEXTJOIN(", ", TRUE, IF(H128:L128&lt;&gt;"", H128:L128, "")))</f>
        <v>#NAME?</v>
      </c>
    </row>
    <row r="129" spans="1:13" ht="15.75" customHeight="1" x14ac:dyDescent="0.25">
      <c r="A129" s="2" t="s">
        <v>23</v>
      </c>
      <c r="B129" s="2" t="s">
        <v>551</v>
      </c>
      <c r="C129" s="5" t="s">
        <v>36</v>
      </c>
      <c r="D129" s="3">
        <v>3</v>
      </c>
      <c r="E129" s="2" t="s">
        <v>42</v>
      </c>
      <c r="F129" s="4" t="str">
        <f t="array" ref="F129">INDEX(Tasks!$B:$B, MATCH(C129, Tasks!$A:$A, 0))</f>
        <v>Empty trash being careful of leaking bags.</v>
      </c>
      <c r="G129" s="4" t="e">
        <f t="array" aca="1" ref="G129" ca="1">_xludf.LET(
  _xlpm.task,$C129,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29" s="8" t="s">
        <v>7</v>
      </c>
      <c r="I129" s="4" t="str">
        <f>IFERROR(IF(FIND("2",$D129),I$1,""),"")</f>
        <v/>
      </c>
      <c r="J129" s="4" t="str">
        <f>IFERROR(IF(FIND("3",$D129),J$1,""),"")</f>
        <v>Wed</v>
      </c>
      <c r="K129" s="4" t="str">
        <f>IFERROR(IF(FIND("4",$D129),K$1,""),"")</f>
        <v/>
      </c>
      <c r="L129" s="4" t="str">
        <f>IFERROR(IF(FIND("5",$D129),L$1,""),"")</f>
        <v/>
      </c>
      <c r="M129" s="4" t="e">
        <f t="array" aca="1" ref="M129" ca="1">_xludf.CONCAT("every ",_xludf.TEXTJOIN(", ", TRUE, IF(H129:L129&lt;&gt;"", H129:L129, "")))</f>
        <v>#NAME?</v>
      </c>
    </row>
    <row r="130" spans="1:13" ht="15.75" customHeight="1" x14ac:dyDescent="0.25">
      <c r="A130" s="2" t="s">
        <v>23</v>
      </c>
      <c r="B130" s="2" t="s">
        <v>551</v>
      </c>
      <c r="C130" s="5" t="s">
        <v>40</v>
      </c>
      <c r="D130" s="3">
        <v>3</v>
      </c>
      <c r="E130" s="2" t="s">
        <v>42</v>
      </c>
      <c r="F130" s="4" t="str">
        <f t="array" ref="F130">INDEX(Tasks!$B:$B, MATCH(C130, Tasks!$A:$A, 0))</f>
        <v>Spray 2in1 on a Paper Towel and wipe down surfaces.</v>
      </c>
      <c r="G130" s="4" t="e">
        <f t="array" aca="1" ref="G130" ca="1">_xludf.LET(
  _xlpm.task,$C130,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30" s="8" t="s">
        <v>52</v>
      </c>
      <c r="I130" s="4" t="str">
        <f>IFERROR(IF(FIND("2",$D130),I$1,""),"")</f>
        <v/>
      </c>
      <c r="J130" s="4" t="str">
        <f>IFERROR(IF(FIND("3",$D130),J$1,""),"")</f>
        <v>Wed</v>
      </c>
      <c r="K130" s="4" t="str">
        <f>IFERROR(IF(FIND("4",$D130),K$1,""),"")</f>
        <v/>
      </c>
      <c r="L130" s="4" t="str">
        <f>IFERROR(IF(FIND("5",$D130),L$1,""),"")</f>
        <v/>
      </c>
      <c r="M130" s="4" t="e">
        <f t="array" aca="1" ref="M130" ca="1">_xludf.CONCAT("every ",_xludf.TEXTJOIN(", ", TRUE, IF(H130:L130&lt;&gt;"", H130:L130, "")))</f>
        <v>#NAME?</v>
      </c>
    </row>
    <row r="131" spans="1:13" ht="15.75" customHeight="1" x14ac:dyDescent="0.25">
      <c r="A131" s="2" t="s">
        <v>23</v>
      </c>
      <c r="B131" s="2" t="s">
        <v>551</v>
      </c>
      <c r="C131" s="2" t="s">
        <v>13</v>
      </c>
      <c r="D131" s="3">
        <v>3</v>
      </c>
      <c r="E131" s="3" t="s">
        <v>42</v>
      </c>
      <c r="F131" s="4" t="str">
        <f t="array" ref="F131">INDEX(Tasks!$B:$B, MATCH(C131, Tasks!$A:$A, 0))</f>
        <v>Use Backpack Vacuum.</v>
      </c>
      <c r="G131" s="4" t="e">
        <f t="array" aca="1" ref="G131" ca="1">_xludf.LET(
  _xlpm.task,$C131,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31" s="8" t="s">
        <v>7</v>
      </c>
      <c r="I131" s="4" t="str">
        <f>IFERROR(IF(FIND("2",$D131),I$1,""),"")</f>
        <v/>
      </c>
      <c r="J131" s="4" t="str">
        <f>IFERROR(IF(FIND("3",$D131),J$1,""),"")</f>
        <v>Wed</v>
      </c>
      <c r="K131" s="4" t="str">
        <f>IFERROR(IF(FIND("4",$D131),K$1,""),"")</f>
        <v/>
      </c>
      <c r="L131" s="4" t="str">
        <f>IFERROR(IF(FIND("5",$D131),L$1,""),"")</f>
        <v/>
      </c>
      <c r="M131" s="4" t="e">
        <f t="array" aca="1" ref="M131" ca="1">_xludf.CONCAT("every ",_xludf.TEXTJOIN(", ", TRUE, IF(H131:L131&lt;&gt;"", H131:L131, "")))</f>
        <v>#NAME?</v>
      </c>
    </row>
    <row r="132" spans="1:13" ht="15.75" customHeight="1" x14ac:dyDescent="0.25">
      <c r="A132" s="2" t="s">
        <v>23</v>
      </c>
      <c r="B132" s="2" t="s">
        <v>551</v>
      </c>
      <c r="C132" s="5" t="s">
        <v>45</v>
      </c>
      <c r="D132" s="3">
        <v>3</v>
      </c>
      <c r="E132" s="2" t="s">
        <v>42</v>
      </c>
      <c r="F132" s="4" t="str">
        <f t="array" ref="F132">INDEX(Tasks!$B:$B, MATCH(C132, Tasks!$A:$A, 0))</f>
        <v>Spray with 2in1, wipe with Paper Towel.</v>
      </c>
      <c r="G132" s="4" t="e">
        <f t="array" aca="1" ref="G132" ca="1">_xludf.LET(
  _xlpm.task,$C132,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32" s="8" t="s">
        <v>7</v>
      </c>
      <c r="I132" s="4" t="str">
        <f>IFERROR(IF(FIND("2",$D132),I$1,""),"")</f>
        <v/>
      </c>
      <c r="J132" s="4" t="str">
        <f>IFERROR(IF(FIND("3",$D132),J$1,""),"")</f>
        <v>Wed</v>
      </c>
      <c r="K132" s="4" t="str">
        <f>IFERROR(IF(FIND("4",$D132),K$1,""),"")</f>
        <v/>
      </c>
      <c r="L132" s="4" t="str">
        <f>IFERROR(IF(FIND("5",$D132),L$1,""),"")</f>
        <v/>
      </c>
      <c r="M132" s="4" t="e">
        <f t="array" aca="1" ref="M132" ca="1">_xludf.CONCAT("every ",_xludf.TEXTJOIN(", ", TRUE, IF(H132:L132&lt;&gt;"", H132:L132, "")))</f>
        <v>#NAME?</v>
      </c>
    </row>
    <row r="133" spans="1:13" ht="15.75" customHeight="1" x14ac:dyDescent="0.25">
      <c r="A133" s="2" t="s">
        <v>23</v>
      </c>
      <c r="B133" s="2" t="s">
        <v>552</v>
      </c>
      <c r="C133" s="5" t="s">
        <v>36</v>
      </c>
      <c r="D133" s="3">
        <v>5</v>
      </c>
      <c r="E133" s="2" t="s">
        <v>14</v>
      </c>
      <c r="F133" s="4" t="str">
        <f t="array" ref="F133">INDEX(Tasks!$B:$B, MATCH(C133, Tasks!$A:$A, 0))</f>
        <v>Empty trash being careful of leaking bags.</v>
      </c>
      <c r="G133" s="4" t="e">
        <f t="array" aca="1" ref="G133" ca="1">_xludf.LET(
  _xlpm.task,$C133,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33" s="4" t="str">
        <f>IFERROR(IF(FIND("1",$D133),H$1,""),"")</f>
        <v/>
      </c>
      <c r="I133" s="4" t="str">
        <f>IFERROR(IF(FIND("2",$D133),I$1,""),"")</f>
        <v/>
      </c>
      <c r="J133" s="4" t="str">
        <f>IFERROR(IF(FIND("3",$D133),J$1,""),"")</f>
        <v/>
      </c>
      <c r="K133" s="4" t="str">
        <f>IFERROR(IF(FIND("4",$D133),K$1,""),"")</f>
        <v/>
      </c>
      <c r="L133" s="4" t="str">
        <f>IFERROR(IF(FIND("5",$D133),L$1,""),"")</f>
        <v>Fri</v>
      </c>
      <c r="M133" s="4" t="e">
        <f t="array" aca="1" ref="M133" ca="1">_xludf.CONCAT("every ",_xludf.TEXTJOIN(", ", TRUE, IF(H133:L133&lt;&gt;"", H133:L133, "")))</f>
        <v>#NAME?</v>
      </c>
    </row>
    <row r="134" spans="1:13" ht="15.75" customHeight="1" x14ac:dyDescent="0.25">
      <c r="A134" s="2" t="s">
        <v>23</v>
      </c>
      <c r="B134" s="2" t="s">
        <v>552</v>
      </c>
      <c r="C134" s="2" t="s">
        <v>13</v>
      </c>
      <c r="D134" s="3">
        <v>5</v>
      </c>
      <c r="E134" s="2" t="s">
        <v>14</v>
      </c>
      <c r="F134" s="4" t="str">
        <f t="array" ref="F134">INDEX(Tasks!$B:$B, MATCH(C134, Tasks!$A:$A, 0))</f>
        <v>Use Backpack Vacuum.</v>
      </c>
      <c r="G134" s="4" t="e">
        <f t="array" aca="1" ref="G134" ca="1">_xludf.LET(
  _xlpm.task,$C134,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34" s="4" t="str">
        <f>IFERROR(IF(FIND("1",$D134),H$1,""),"")</f>
        <v/>
      </c>
      <c r="I134" s="4" t="str">
        <f>IFERROR(IF(FIND("2",$D134),I$1,""),"")</f>
        <v/>
      </c>
      <c r="J134" s="4" t="str">
        <f>IFERROR(IF(FIND("3",$D134),J$1,""),"")</f>
        <v/>
      </c>
      <c r="K134" s="4" t="str">
        <f>IFERROR(IF(FIND("4",$D134),K$1,""),"")</f>
        <v/>
      </c>
      <c r="L134" s="4" t="str">
        <f>IFERROR(IF(FIND("5",$D134),L$1,""),"")</f>
        <v>Fri</v>
      </c>
      <c r="M134" s="4" t="e">
        <f t="array" aca="1" ref="M134" ca="1">_xludf.CONCAT("every ",_xludf.TEXTJOIN(", ", TRUE, IF(H134:L134&lt;&gt;"", H134:L134, "")))</f>
        <v>#NAME?</v>
      </c>
    </row>
    <row r="135" spans="1:13" ht="15.75" customHeight="1" x14ac:dyDescent="0.25">
      <c r="A135" s="2" t="s">
        <v>23</v>
      </c>
      <c r="B135" s="2" t="s">
        <v>553</v>
      </c>
      <c r="C135" s="5" t="s">
        <v>36</v>
      </c>
      <c r="D135" s="3">
        <v>5</v>
      </c>
      <c r="E135" s="2" t="s">
        <v>14</v>
      </c>
      <c r="F135" s="4" t="str">
        <f t="array" ref="F135">INDEX(Tasks!$B:$B, MATCH(C135, Tasks!$A:$A, 0))</f>
        <v>Empty trash being careful of leaking bags.</v>
      </c>
      <c r="G135" s="4" t="e">
        <f t="array" aca="1" ref="G135" ca="1">_xludf.LET(
  _xlpm.task,$C135,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35" s="4" t="str">
        <f>IFERROR(IF(FIND("1",$D135),H$1,""),"")</f>
        <v/>
      </c>
      <c r="I135" s="4" t="str">
        <f>IFERROR(IF(FIND("2",$D135),I$1,""),"")</f>
        <v/>
      </c>
      <c r="J135" s="4" t="str">
        <f>IFERROR(IF(FIND("3",$D135),J$1,""),"")</f>
        <v/>
      </c>
      <c r="K135" s="4" t="str">
        <f>IFERROR(IF(FIND("4",$D135),K$1,""),"")</f>
        <v/>
      </c>
      <c r="L135" s="4" t="str">
        <f>IFERROR(IF(FIND("5",$D135),L$1,""),"")</f>
        <v>Fri</v>
      </c>
      <c r="M135" s="4" t="e">
        <f t="array" aca="1" ref="M135" ca="1">_xludf.CONCAT("every ",_xludf.TEXTJOIN(", ", TRUE, IF(H135:L135&lt;&gt;"", H135:L135, "")))</f>
        <v>#NAME?</v>
      </c>
    </row>
    <row r="136" spans="1:13" ht="15.75" customHeight="1" x14ac:dyDescent="0.25">
      <c r="A136" s="2" t="s">
        <v>23</v>
      </c>
      <c r="B136" s="2" t="s">
        <v>553</v>
      </c>
      <c r="C136" s="2" t="s">
        <v>13</v>
      </c>
      <c r="D136" s="3">
        <v>5</v>
      </c>
      <c r="E136" s="2" t="s">
        <v>14</v>
      </c>
      <c r="F136" s="4" t="str">
        <f t="array" ref="F136">INDEX(Tasks!$B:$B, MATCH(C136, Tasks!$A:$A, 0))</f>
        <v>Use Backpack Vacuum.</v>
      </c>
      <c r="G136" s="4" t="e">
        <f t="array" aca="1" ref="G136" ca="1">_xludf.LET(
  _xlpm.task,$C136,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36" s="4" t="str">
        <f>IFERROR(IF(FIND("1",$D136),H$1,""),"")</f>
        <v/>
      </c>
      <c r="I136" s="4" t="str">
        <f>IFERROR(IF(FIND("2",$D136),I$1,""),"")</f>
        <v/>
      </c>
      <c r="J136" s="4" t="str">
        <f>IFERROR(IF(FIND("3",$D136),J$1,""),"")</f>
        <v/>
      </c>
      <c r="K136" s="4" t="str">
        <f>IFERROR(IF(FIND("4",$D136),K$1,""),"")</f>
        <v/>
      </c>
      <c r="L136" s="4" t="str">
        <f>IFERROR(IF(FIND("5",$D136),L$1,""),"")</f>
        <v>Fri</v>
      </c>
      <c r="M136" s="4" t="e">
        <f t="array" aca="1" ref="M136" ca="1">_xludf.CONCAT("every ",_xludf.TEXTJOIN(", ", TRUE, IF(H136:L136&lt;&gt;"", H136:L136, "")))</f>
        <v>#NAME?</v>
      </c>
    </row>
    <row r="137" spans="1:13" ht="15.75" customHeight="1" x14ac:dyDescent="0.25">
      <c r="A137" s="2" t="s">
        <v>23</v>
      </c>
      <c r="B137" s="2" t="s">
        <v>554</v>
      </c>
      <c r="C137" s="5" t="s">
        <v>36</v>
      </c>
      <c r="D137" s="3">
        <v>2</v>
      </c>
      <c r="E137" s="2" t="s">
        <v>42</v>
      </c>
      <c r="F137" s="4" t="str">
        <f t="array" ref="F137">INDEX(Tasks!$B:$B, MATCH(C137, Tasks!$A:$A, 0))</f>
        <v>Empty trash being careful of leaking bags.</v>
      </c>
      <c r="G137" s="4" t="e">
        <f t="array" aca="1" ref="G137" ca="1">_xludf.LET(
  _xlpm.task,$C137,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37" s="4" t="str">
        <f>IFERROR(IF(FIND("1",$D137),H$1,""),"")</f>
        <v/>
      </c>
      <c r="I137" s="4" t="str">
        <f>IFERROR(IF(FIND("2",$D137),I$1,""),"")</f>
        <v>Tue</v>
      </c>
      <c r="J137" s="4" t="str">
        <f>IFERROR(IF(FIND("3",$D137),J$1,""),"")</f>
        <v/>
      </c>
      <c r="K137" s="4" t="str">
        <f>IFERROR(IF(FIND("4",$D137),K$1,""),"")</f>
        <v/>
      </c>
      <c r="L137" s="4" t="str">
        <f>IFERROR(IF(FIND("5",$D137),L$1,""),"")</f>
        <v/>
      </c>
      <c r="M137" s="4" t="e">
        <f t="array" aca="1" ref="M137" ca="1">_xludf.CONCAT("every ",_xludf.TEXTJOIN(", ", TRUE, IF(H137:L137&lt;&gt;"", H137:L137, "")))</f>
        <v>#NAME?</v>
      </c>
    </row>
    <row r="138" spans="1:13" ht="15.75" customHeight="1" x14ac:dyDescent="0.25">
      <c r="A138" s="2" t="s">
        <v>23</v>
      </c>
      <c r="B138" s="2" t="s">
        <v>554</v>
      </c>
      <c r="C138" s="2" t="s">
        <v>13</v>
      </c>
      <c r="D138" s="3">
        <v>2</v>
      </c>
      <c r="E138" s="3" t="s">
        <v>42</v>
      </c>
      <c r="F138" s="4" t="str">
        <f t="array" ref="F138">INDEX(Tasks!$B:$B, MATCH(C138, Tasks!$A:$A, 0))</f>
        <v>Use Backpack Vacuum.</v>
      </c>
      <c r="G138" s="4" t="e">
        <f t="array" aca="1" ref="G138" ca="1">_xludf.LET(
  _xlpm.task,$C138,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38" s="4" t="str">
        <f>IFERROR(IF(FIND("1",$D138),H$1,""),"")</f>
        <v/>
      </c>
      <c r="I138" s="4" t="str">
        <f>IFERROR(IF(FIND("2",$D138),I$1,""),"")</f>
        <v>Tue</v>
      </c>
      <c r="J138" s="4" t="str">
        <f>IFERROR(IF(FIND("3",$D138),J$1,""),"")</f>
        <v/>
      </c>
      <c r="K138" s="4" t="str">
        <f>IFERROR(IF(FIND("4",$D138),K$1,""),"")</f>
        <v/>
      </c>
      <c r="L138" s="4" t="str">
        <f>IFERROR(IF(FIND("5",$D138),L$1,""),"")</f>
        <v/>
      </c>
      <c r="M138" s="4" t="e">
        <f t="array" aca="1" ref="M138" ca="1">_xludf.CONCAT("every ",_xludf.TEXTJOIN(", ", TRUE, IF(H138:L138&lt;&gt;"", H138:L138, "")))</f>
        <v>#NAME?</v>
      </c>
    </row>
    <row r="139" spans="1:13" ht="15.75" customHeight="1" x14ac:dyDescent="0.25">
      <c r="A139" s="2" t="s">
        <v>23</v>
      </c>
      <c r="B139" s="2" t="s">
        <v>554</v>
      </c>
      <c r="C139" s="5" t="s">
        <v>25</v>
      </c>
      <c r="D139" s="3">
        <v>2</v>
      </c>
      <c r="E139" s="2" t="s">
        <v>42</v>
      </c>
      <c r="F139" s="4" t="str">
        <f t="array" ref="F139">INDEX(Tasks!$B:$B, MATCH(C139, Tasks!$A:$A, 0))</f>
        <v>Spray with 2in1, wipe with Paper Towel.</v>
      </c>
      <c r="G139" s="4" t="e">
        <f t="array" aca="1" ref="G139" ca="1">_xludf.LET(
  _xlpm.task,$C139,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39" s="4" t="str">
        <f>IFERROR(IF(FIND("1",$D139),H$1,""),"")</f>
        <v/>
      </c>
      <c r="I139" s="4" t="str">
        <f>IFERROR(IF(FIND("2",$D139),I$1,""),"")</f>
        <v>Tue</v>
      </c>
      <c r="J139" s="4" t="str">
        <f>IFERROR(IF(FIND("3",$D139),J$1,""),"")</f>
        <v/>
      </c>
      <c r="K139" s="4" t="str">
        <f>IFERROR(IF(FIND("4",$D139),K$1,""),"")</f>
        <v/>
      </c>
      <c r="L139" s="4" t="str">
        <f>IFERROR(IF(FIND("5",$D139),L$1,""),"")</f>
        <v/>
      </c>
      <c r="M139" s="4" t="e">
        <f t="array" aca="1" ref="M139" ca="1">_xludf.CONCAT("every ",_xludf.TEXTJOIN(", ", TRUE, IF(H139:L139&lt;&gt;"", H139:L139, "")))</f>
        <v>#NAME?</v>
      </c>
    </row>
    <row r="140" spans="1:13" ht="15.75" customHeight="1" x14ac:dyDescent="0.25">
      <c r="A140" s="2" t="s">
        <v>23</v>
      </c>
      <c r="B140" s="2" t="s">
        <v>542</v>
      </c>
      <c r="C140" s="5" t="s">
        <v>36</v>
      </c>
      <c r="D140" s="3">
        <v>3</v>
      </c>
      <c r="E140" s="2" t="s">
        <v>42</v>
      </c>
      <c r="F140" s="4" t="str">
        <f t="array" ref="F140">INDEX(Tasks!$B:$B, MATCH(C140, Tasks!$A:$A, 0))</f>
        <v>Empty trash being careful of leaking bags.</v>
      </c>
      <c r="G140" s="4" t="e">
        <f t="array" aca="1" ref="G140" ca="1">_xludf.LET(
  _xlpm.task,$C140,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40" s="4" t="str">
        <f>IFERROR(IF(FIND("1",$D140),H$1,""),"")</f>
        <v/>
      </c>
      <c r="I140" s="4" t="str">
        <f>IFERROR(IF(FIND("2",$D140),I$1,""),"")</f>
        <v/>
      </c>
      <c r="J140" s="4" t="str">
        <f>IFERROR(IF(FIND("3",$D140),J$1,""),"")</f>
        <v>Wed</v>
      </c>
      <c r="K140" s="4" t="str">
        <f>IFERROR(IF(FIND("4",$D140),K$1,""),"")</f>
        <v/>
      </c>
      <c r="L140" s="4" t="str">
        <f>IFERROR(IF(FIND("5",$D140),L$1,""),"")</f>
        <v/>
      </c>
      <c r="M140" s="4" t="e">
        <f t="array" aca="1" ref="M140" ca="1">_xludf.CONCAT("every ",_xludf.TEXTJOIN(", ", TRUE, IF(H140:L140&lt;&gt;"", H140:L140, "")))</f>
        <v>#NAME?</v>
      </c>
    </row>
    <row r="141" spans="1:13" ht="15.75" customHeight="1" x14ac:dyDescent="0.25">
      <c r="A141" s="2" t="s">
        <v>23</v>
      </c>
      <c r="B141" s="2" t="s">
        <v>542</v>
      </c>
      <c r="C141" s="2" t="s">
        <v>13</v>
      </c>
      <c r="D141" s="3">
        <v>3</v>
      </c>
      <c r="E141" s="3" t="s">
        <v>42</v>
      </c>
      <c r="F141" s="4" t="str">
        <f t="array" ref="F141">INDEX(Tasks!$B:$B, MATCH(C141, Tasks!$A:$A, 0))</f>
        <v>Use Backpack Vacuum.</v>
      </c>
      <c r="G141" s="4" t="e">
        <f t="array" aca="1" ref="G141" ca="1">_xludf.LET(
  _xlpm.task,$C141,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41" s="4" t="str">
        <f>IFERROR(IF(FIND("1",$D141),H$1,""),"")</f>
        <v/>
      </c>
      <c r="I141" s="4" t="str">
        <f>IFERROR(IF(FIND("2",$D141),I$1,""),"")</f>
        <v/>
      </c>
      <c r="J141" s="4" t="str">
        <f>IFERROR(IF(FIND("3",$D141),J$1,""),"")</f>
        <v>Wed</v>
      </c>
      <c r="K141" s="4" t="str">
        <f>IFERROR(IF(FIND("4",$D141),K$1,""),"")</f>
        <v/>
      </c>
      <c r="L141" s="4" t="str">
        <f>IFERROR(IF(FIND("5",$D141),L$1,""),"")</f>
        <v/>
      </c>
      <c r="M141" s="4" t="e">
        <f t="array" aca="1" ref="M141" ca="1">_xludf.CONCAT("every ",_xludf.TEXTJOIN(", ", TRUE, IF(H141:L141&lt;&gt;"", H141:L141, "")))</f>
        <v>#NAME?</v>
      </c>
    </row>
    <row r="142" spans="1:13" ht="15.75" customHeight="1" x14ac:dyDescent="0.25">
      <c r="A142" s="2" t="s">
        <v>23</v>
      </c>
      <c r="B142" s="2" t="s">
        <v>542</v>
      </c>
      <c r="C142" s="5" t="s">
        <v>45</v>
      </c>
      <c r="D142" s="3">
        <v>3</v>
      </c>
      <c r="E142" s="2" t="s">
        <v>42</v>
      </c>
      <c r="F142" s="4" t="str">
        <f t="array" ref="F142">INDEX(Tasks!$B:$B, MATCH(C142, Tasks!$A:$A, 0))</f>
        <v>Spray with 2in1, wipe with Paper Towel.</v>
      </c>
      <c r="G142" s="4" t="e">
        <f t="array" aca="1" ref="G142" ca="1">_xludf.LET(
  _xlpm.task,$C142,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42" s="4" t="str">
        <f>IFERROR(IF(FIND("1",$D142),H$1,""),"")</f>
        <v/>
      </c>
      <c r="I142" s="4" t="str">
        <f>IFERROR(IF(FIND("2",$D142),I$1,""),"")</f>
        <v/>
      </c>
      <c r="J142" s="4" t="str">
        <f>IFERROR(IF(FIND("3",$D142),J$1,""),"")</f>
        <v>Wed</v>
      </c>
      <c r="K142" s="4" t="str">
        <f>IFERROR(IF(FIND("4",$D142),K$1,""),"")</f>
        <v/>
      </c>
      <c r="L142" s="4" t="str">
        <f>IFERROR(IF(FIND("5",$D142),L$1,""),"")</f>
        <v/>
      </c>
      <c r="M142" s="4" t="e">
        <f t="array" aca="1" ref="M142" ca="1">_xludf.CONCAT("every ",_xludf.TEXTJOIN(", ", TRUE, IF(H142:L142&lt;&gt;"", H142:L142, "")))</f>
        <v>#NAME?</v>
      </c>
    </row>
    <row r="143" spans="1:13" ht="15.75" customHeight="1" x14ac:dyDescent="0.25">
      <c r="A143" s="2" t="s">
        <v>23</v>
      </c>
      <c r="B143" s="2" t="s">
        <v>543</v>
      </c>
      <c r="C143" s="5" t="s">
        <v>36</v>
      </c>
      <c r="D143" s="3">
        <v>3</v>
      </c>
      <c r="E143" s="2" t="s">
        <v>42</v>
      </c>
      <c r="F143" s="4" t="str">
        <f t="array" ref="F143">INDEX(Tasks!$B:$B, MATCH(C143, Tasks!$A:$A, 0))</f>
        <v>Empty trash being careful of leaking bags.</v>
      </c>
      <c r="G143" s="4" t="e">
        <f t="array" aca="1" ref="G143" ca="1">_xludf.LET(
  _xlpm.task,$C143,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43" s="4" t="str">
        <f>IFERROR(IF(FIND("1",$D143),H$1,""),"")</f>
        <v/>
      </c>
      <c r="I143" s="4" t="str">
        <f>IFERROR(IF(FIND("2",$D143),I$1,""),"")</f>
        <v/>
      </c>
      <c r="J143" s="4" t="str">
        <f>IFERROR(IF(FIND("3",$D143),J$1,""),"")</f>
        <v>Wed</v>
      </c>
      <c r="K143" s="4" t="str">
        <f>IFERROR(IF(FIND("4",$D143),K$1,""),"")</f>
        <v/>
      </c>
      <c r="L143" s="4" t="str">
        <f>IFERROR(IF(FIND("5",$D143),L$1,""),"")</f>
        <v/>
      </c>
      <c r="M143" s="4" t="e">
        <f t="array" aca="1" ref="M143" ca="1">_xludf.CONCAT("every ",_xludf.TEXTJOIN(", ", TRUE, IF(H143:L143&lt;&gt;"", H143:L143, "")))</f>
        <v>#NAME?</v>
      </c>
    </row>
    <row r="144" spans="1:13" ht="15.75" customHeight="1" x14ac:dyDescent="0.25">
      <c r="A144" s="2" t="s">
        <v>23</v>
      </c>
      <c r="B144" s="2" t="s">
        <v>543</v>
      </c>
      <c r="C144" s="2" t="s">
        <v>13</v>
      </c>
      <c r="D144" s="3">
        <v>3</v>
      </c>
      <c r="E144" s="3" t="s">
        <v>42</v>
      </c>
      <c r="F144" s="4" t="str">
        <f t="array" ref="F144">INDEX(Tasks!$B:$B, MATCH(C144, Tasks!$A:$A, 0))</f>
        <v>Use Backpack Vacuum.</v>
      </c>
      <c r="G144" s="4" t="e">
        <f t="array" aca="1" ref="G144" ca="1">_xludf.LET(
  _xlpm.task,$C144,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44" s="4" t="str">
        <f>IFERROR(IF(FIND("1",$D144),H$1,""),"")</f>
        <v/>
      </c>
      <c r="I144" s="4" t="str">
        <f>IFERROR(IF(FIND("2",$D144),I$1,""),"")</f>
        <v/>
      </c>
      <c r="J144" s="4" t="str">
        <f>IFERROR(IF(FIND("3",$D144),J$1,""),"")</f>
        <v>Wed</v>
      </c>
      <c r="K144" s="4" t="str">
        <f>IFERROR(IF(FIND("4",$D144),K$1,""),"")</f>
        <v/>
      </c>
      <c r="L144" s="4" t="str">
        <f>IFERROR(IF(FIND("5",$D144),L$1,""),"")</f>
        <v/>
      </c>
      <c r="M144" s="4" t="e">
        <f t="array" aca="1" ref="M144" ca="1">_xludf.CONCAT("every ",_xludf.TEXTJOIN(", ", TRUE, IF(H144:L144&lt;&gt;"", H144:L144, "")))</f>
        <v>#NAME?</v>
      </c>
    </row>
    <row r="145" spans="1:13" ht="15.75" customHeight="1" x14ac:dyDescent="0.25">
      <c r="A145" s="2" t="s">
        <v>23</v>
      </c>
      <c r="B145" s="2" t="s">
        <v>543</v>
      </c>
      <c r="C145" s="5" t="s">
        <v>45</v>
      </c>
      <c r="D145" s="3">
        <v>3</v>
      </c>
      <c r="E145" s="2" t="s">
        <v>42</v>
      </c>
      <c r="F145" s="4" t="str">
        <f t="array" ref="F145">INDEX(Tasks!$B:$B, MATCH(C145, Tasks!$A:$A, 0))</f>
        <v>Spray with 2in1, wipe with Paper Towel.</v>
      </c>
      <c r="G145" s="4" t="e">
        <f t="array" aca="1" ref="G145" ca="1">_xludf.LET(
  _xlpm.task,$C145,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45" s="4" t="str">
        <f>IFERROR(IF(FIND("1",$D145),H$1,""),"")</f>
        <v/>
      </c>
      <c r="I145" s="4" t="str">
        <f>IFERROR(IF(FIND("2",$D145),I$1,""),"")</f>
        <v/>
      </c>
      <c r="J145" s="4" t="str">
        <f>IFERROR(IF(FIND("3",$D145),J$1,""),"")</f>
        <v>Wed</v>
      </c>
      <c r="K145" s="4" t="str">
        <f>IFERROR(IF(FIND("4",$D145),K$1,""),"")</f>
        <v/>
      </c>
      <c r="L145" s="4" t="str">
        <f>IFERROR(IF(FIND("5",$D145),L$1,""),"")</f>
        <v/>
      </c>
      <c r="M145" s="4" t="e">
        <f t="array" aca="1" ref="M145" ca="1">_xludf.CONCAT("every ",_xludf.TEXTJOIN(", ", TRUE, IF(H145:L145&lt;&gt;"", H145:L145, "")))</f>
        <v>#NAME?</v>
      </c>
    </row>
    <row r="146" spans="1:13" ht="15.75" customHeight="1" x14ac:dyDescent="0.25">
      <c r="A146" s="2" t="s">
        <v>23</v>
      </c>
      <c r="B146" s="2" t="s">
        <v>555</v>
      </c>
      <c r="C146" s="5" t="s">
        <v>36</v>
      </c>
      <c r="D146" s="3">
        <v>3</v>
      </c>
      <c r="E146" s="2" t="s">
        <v>42</v>
      </c>
      <c r="F146" s="4" t="str">
        <f t="array" ref="F146">INDEX(Tasks!$B:$B, MATCH(C146, Tasks!$A:$A, 0))</f>
        <v>Empty trash being careful of leaking bags.</v>
      </c>
      <c r="G146" s="4" t="e">
        <f t="array" aca="1" ref="G146" ca="1">_xludf.LET(
  _xlpm.task,$C146,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46" s="8" t="s">
        <v>7</v>
      </c>
      <c r="I146" s="4" t="str">
        <f>IFERROR(IF(FIND("2",$D146),I$1,""),"")</f>
        <v/>
      </c>
      <c r="J146" s="4" t="str">
        <f>IFERROR(IF(FIND("3",$D146),J$1,""),"")</f>
        <v>Wed</v>
      </c>
      <c r="K146" s="4" t="str">
        <f>IFERROR(IF(FIND("4",$D146),K$1,""),"")</f>
        <v/>
      </c>
      <c r="L146" s="4" t="str">
        <f>IFERROR(IF(FIND("5",$D146),L$1,""),"")</f>
        <v/>
      </c>
      <c r="M146" s="4" t="e">
        <f t="array" aca="1" ref="M146" ca="1">_xludf.CONCAT("every ",_xludf.TEXTJOIN(", ", TRUE, IF(H146:L146&lt;&gt;"", H146:L146, "")))</f>
        <v>#NAME?</v>
      </c>
    </row>
    <row r="147" spans="1:13" ht="15.75" customHeight="1" x14ac:dyDescent="0.25">
      <c r="A147" s="2" t="s">
        <v>23</v>
      </c>
      <c r="B147" s="2" t="s">
        <v>555</v>
      </c>
      <c r="C147" s="2" t="s">
        <v>13</v>
      </c>
      <c r="D147" s="3">
        <v>3</v>
      </c>
      <c r="E147" s="3" t="s">
        <v>42</v>
      </c>
      <c r="F147" s="4" t="str">
        <f t="array" ref="F147">INDEX(Tasks!$B:$B, MATCH(C147, Tasks!$A:$A, 0))</f>
        <v>Use Backpack Vacuum.</v>
      </c>
      <c r="G147" s="4" t="e">
        <f t="array" aca="1" ref="G147" ca="1">_xludf.LET(
  _xlpm.task,$C147,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47" s="8" t="s">
        <v>7</v>
      </c>
      <c r="I147" s="4" t="str">
        <f>IFERROR(IF(FIND("2",$D147),I$1,""),"")</f>
        <v/>
      </c>
      <c r="J147" s="4" t="str">
        <f>IFERROR(IF(FIND("3",$D147),J$1,""),"")</f>
        <v>Wed</v>
      </c>
      <c r="K147" s="4" t="str">
        <f>IFERROR(IF(FIND("4",$D147),K$1,""),"")</f>
        <v/>
      </c>
      <c r="L147" s="4" t="str">
        <f>IFERROR(IF(FIND("5",$D147),L$1,""),"")</f>
        <v/>
      </c>
      <c r="M147" s="4" t="e">
        <f t="array" aca="1" ref="M147" ca="1">_xludf.CONCAT("every ",_xludf.TEXTJOIN(", ", TRUE, IF(H147:L147&lt;&gt;"", H147:L147, "")))</f>
        <v>#NAME?</v>
      </c>
    </row>
    <row r="148" spans="1:13" ht="15.75" customHeight="1" x14ac:dyDescent="0.25">
      <c r="A148" s="2" t="s">
        <v>23</v>
      </c>
      <c r="B148" s="2" t="s">
        <v>555</v>
      </c>
      <c r="C148" s="5" t="s">
        <v>45</v>
      </c>
      <c r="D148" s="3">
        <v>3</v>
      </c>
      <c r="E148" s="2" t="s">
        <v>42</v>
      </c>
      <c r="F148" s="4" t="str">
        <f t="array" ref="F148">INDEX(Tasks!$B:$B, MATCH(C148, Tasks!$A:$A, 0))</f>
        <v>Spray with 2in1, wipe with Paper Towel.</v>
      </c>
      <c r="G148" s="4" t="e">
        <f t="array" aca="1" ref="G148" ca="1">_xludf.LET(
  _xlpm.task,$C148,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48" s="8" t="s">
        <v>7</v>
      </c>
      <c r="I148" s="4" t="str">
        <f>IFERROR(IF(FIND("2",$D148),I$1,""),"")</f>
        <v/>
      </c>
      <c r="J148" s="4" t="str">
        <f>IFERROR(IF(FIND("3",$D148),J$1,""),"")</f>
        <v>Wed</v>
      </c>
      <c r="K148" s="4" t="str">
        <f>IFERROR(IF(FIND("4",$D148),K$1,""),"")</f>
        <v/>
      </c>
      <c r="L148" s="4" t="str">
        <f>IFERROR(IF(FIND("5",$D148),L$1,""),"")</f>
        <v/>
      </c>
      <c r="M148" s="4" t="e">
        <f t="array" aca="1" ref="M148" ca="1">_xludf.CONCAT("every ",_xludf.TEXTJOIN(", ", TRUE, IF(H148:L148&lt;&gt;"", H148:L148, "")))</f>
        <v>#NAME?</v>
      </c>
    </row>
    <row r="149" spans="1:13" ht="15.75" customHeight="1" x14ac:dyDescent="0.25">
      <c r="A149" s="2" t="s">
        <v>23</v>
      </c>
      <c r="B149" s="2" t="s">
        <v>556</v>
      </c>
      <c r="C149" s="2" t="s">
        <v>13</v>
      </c>
      <c r="D149" s="3">
        <v>3</v>
      </c>
      <c r="E149" s="3" t="s">
        <v>42</v>
      </c>
      <c r="F149" s="4" t="str">
        <f t="array" ref="F149">INDEX(Tasks!$B:$B, MATCH(C149, Tasks!$A:$A, 0))</f>
        <v>Use Backpack Vacuum.</v>
      </c>
      <c r="G149" s="4" t="e">
        <f t="array" aca="1" ref="G149" ca="1">_xludf.LET(
  _xlpm.task,$C149,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49" s="8" t="s">
        <v>7</v>
      </c>
      <c r="I149" s="4" t="str">
        <f>IFERROR(IF(FIND("2",$D149),I$1,""),"")</f>
        <v/>
      </c>
      <c r="J149" s="4" t="str">
        <f>IFERROR(IF(FIND("3",$D149),J$1,""),"")</f>
        <v>Wed</v>
      </c>
      <c r="K149" s="4" t="str">
        <f>IFERROR(IF(FIND("4",$D149),K$1,""),"")</f>
        <v/>
      </c>
      <c r="L149" s="4" t="str">
        <f>IFERROR(IF(FIND("5",$D149),L$1,""),"")</f>
        <v/>
      </c>
      <c r="M149" s="4" t="e">
        <f t="array" aca="1" ref="M149" ca="1">_xludf.CONCAT("every ",_xludf.TEXTJOIN(", ", TRUE, IF(H149:L149&lt;&gt;"", H149:L149, "")))</f>
        <v>#NAME?</v>
      </c>
    </row>
    <row r="150" spans="1:13" ht="15.75" customHeight="1" x14ac:dyDescent="0.25">
      <c r="A150" s="2" t="s">
        <v>23</v>
      </c>
      <c r="B150" s="2" t="s">
        <v>557</v>
      </c>
      <c r="C150" s="5" t="s">
        <v>15</v>
      </c>
      <c r="D150" s="3">
        <v>14</v>
      </c>
      <c r="E150" s="2" t="s">
        <v>42</v>
      </c>
      <c r="F150" s="4" t="str">
        <f t="array" ref="F150">INDEX(Tasks!$B:$B, MATCH(C150, Tasks!$A:$A, 0))</f>
        <v>Empty trash Including stall bags.</v>
      </c>
      <c r="G150" s="4" t="e">
        <f t="array" aca="1" ref="G150" ca="1">_xludf.LET(
  _xlpm.task,$C150,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50" s="4" t="str">
        <f>IFERROR(IF(FIND("1",$D150),H$1,""),"")</f>
        <v>Mon</v>
      </c>
      <c r="I150" s="4" t="str">
        <f>IFERROR(IF(FIND("2",$D150),I$1,""),"")</f>
        <v/>
      </c>
      <c r="J150" s="4" t="str">
        <f>IFERROR(IF(FIND("3",$D150),J$1,""),"")</f>
        <v/>
      </c>
      <c r="K150" s="4" t="str">
        <f>IFERROR(IF(FIND("4",$D150),K$1,""),"")</f>
        <v>Thu</v>
      </c>
      <c r="L150" s="4" t="str">
        <f>IFERROR(IF(FIND("5",$D150),L$1,""),"")</f>
        <v/>
      </c>
      <c r="M150" s="4" t="e">
        <f t="array" aca="1" ref="M150" ca="1">_xludf.CONCAT("every ",_xludf.TEXTJOIN(", ", TRUE, IF(H150:L150&lt;&gt;"", H150:L150, "")))</f>
        <v>#NAME?</v>
      </c>
    </row>
    <row r="151" spans="1:13" ht="15.75" customHeight="1" x14ac:dyDescent="0.25">
      <c r="A151" s="2" t="s">
        <v>23</v>
      </c>
      <c r="B151" s="2" t="s">
        <v>557</v>
      </c>
      <c r="C151" s="2" t="s">
        <v>29</v>
      </c>
      <c r="D151" s="3">
        <v>4</v>
      </c>
      <c r="E151" s="2" t="s">
        <v>42</v>
      </c>
      <c r="F151" s="4" t="str">
        <f t="array" ref="F151">INDEX(Tasks!$B:$B, MATCH(C151, Tasks!$A:$A, 0))</f>
        <v>Mix 6oz floor cleaner and 3gal hot water in mop bucket.</v>
      </c>
      <c r="G151" s="4" t="e">
        <f t="array" aca="1" ref="G151" ca="1">_xludf.LET(
  _xlpm.task,$C151,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51" s="4" t="str">
        <f>IFERROR(IF(FIND("1",$D151),H$1,""),"")</f>
        <v/>
      </c>
      <c r="I151" s="4" t="str">
        <f>IFERROR(IF(FIND("2",$D151),I$1,""),"")</f>
        <v/>
      </c>
      <c r="J151" s="4" t="str">
        <f>IFERROR(IF(FIND("3",$D151),J$1,""),"")</f>
        <v/>
      </c>
      <c r="K151" s="4" t="str">
        <f>IFERROR(IF(FIND("4",$D151),K$1,""),"")</f>
        <v>Thu</v>
      </c>
      <c r="L151" s="4" t="str">
        <f>IFERROR(IF(FIND("5",$D151),L$1,""),"")</f>
        <v/>
      </c>
      <c r="M151" s="4" t="e">
        <f t="array" aca="1" ref="M151" ca="1">_xludf.CONCAT("every ",_xludf.TEXTJOIN(", ", TRUE, IF(H151:L151&lt;&gt;"", H151:L151, "")))</f>
        <v>#NAME?</v>
      </c>
    </row>
    <row r="152" spans="1:13" ht="15.75" customHeight="1" x14ac:dyDescent="0.25">
      <c r="A152" s="2" t="s">
        <v>23</v>
      </c>
      <c r="B152" s="2" t="s">
        <v>557</v>
      </c>
      <c r="C152" s="5" t="s">
        <v>43</v>
      </c>
      <c r="D152" s="3">
        <v>4</v>
      </c>
      <c r="E152" s="2" t="s">
        <v>42</v>
      </c>
      <c r="F152" s="4" t="str">
        <f t="array" ref="F152">INDEX(Tasks!$B:$B, MATCH(C152, Tasks!$A:$A, 0))</f>
        <v>Use Barkeepers Friend in bowl, Scrub with sink brush. Finish with 2in1 and Paper Towels.</v>
      </c>
      <c r="G152" s="4" t="e">
        <f t="array" aca="1" ref="G152" ca="1">_xludf.LET(
  _xlpm.task,$C152,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52" s="4" t="str">
        <f>IFERROR(IF(FIND("1",$D152),H$1,""),"")</f>
        <v/>
      </c>
      <c r="I152" s="4" t="str">
        <f>IFERROR(IF(FIND("2",$D152),I$1,""),"")</f>
        <v/>
      </c>
      <c r="J152" s="4" t="str">
        <f>IFERROR(IF(FIND("3",$D152),J$1,""),"")</f>
        <v/>
      </c>
      <c r="K152" s="4" t="str">
        <f>IFERROR(IF(FIND("4",$D152),K$1,""),"")</f>
        <v>Thu</v>
      </c>
      <c r="L152" s="4" t="str">
        <f>IFERROR(IF(FIND("5",$D152),L$1,""),"")</f>
        <v/>
      </c>
      <c r="M152" s="4" t="e">
        <f t="array" aca="1" ref="M152" ca="1">_xludf.CONCAT("every ",_xludf.TEXTJOIN(", ", TRUE, IF(H152:L152&lt;&gt;"", H152:L152, "")))</f>
        <v>#NAME?</v>
      </c>
    </row>
    <row r="153" spans="1:13" ht="15.75" customHeight="1" x14ac:dyDescent="0.25">
      <c r="A153" s="2" t="s">
        <v>23</v>
      </c>
      <c r="B153" s="2" t="s">
        <v>557</v>
      </c>
      <c r="C153" s="5" t="s">
        <v>53</v>
      </c>
      <c r="D153" s="3">
        <v>4</v>
      </c>
      <c r="E153" s="2" t="s">
        <v>42</v>
      </c>
      <c r="F153" s="4" t="str">
        <f t="array" ref="F153">INDEX(Tasks!$B:$B, MATCH(C153, Tasks!$A:$A, 0))</f>
        <v>Scrub Toilet Bowls with Toilet Bowl Cleaner and Toilet Brush. Spray entire Toilet with 2in1 and wipe with Paper Towels.</v>
      </c>
      <c r="G153" s="4" t="e">
        <f t="array" aca="1" ref="G153" ca="1">_xludf.LET(
  _xlpm.task,$C153,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53" s="4" t="str">
        <f>IFERROR(IF(FIND("1",$D153),H$1,""),"")</f>
        <v/>
      </c>
      <c r="I153" s="4" t="str">
        <f>IFERROR(IF(FIND("2",$D153),I$1,""),"")</f>
        <v/>
      </c>
      <c r="J153" s="4" t="str">
        <f>IFERROR(IF(FIND("3",$D153),J$1,""),"")</f>
        <v/>
      </c>
      <c r="K153" s="4" t="str">
        <f>IFERROR(IF(FIND("4",$D153),K$1,""),"")</f>
        <v>Thu</v>
      </c>
      <c r="L153" s="4" t="str">
        <f>IFERROR(IF(FIND("5",$D153),L$1,""),"")</f>
        <v/>
      </c>
      <c r="M153" s="4" t="e">
        <f t="array" aca="1" ref="M153" ca="1">_xludf.CONCAT("every ",_xludf.TEXTJOIN(", ", TRUE, IF(H153:L153&lt;&gt;"", H153:L153, "")))</f>
        <v>#NAME?</v>
      </c>
    </row>
    <row r="154" spans="1:13" ht="15.75" customHeight="1" x14ac:dyDescent="0.25">
      <c r="A154" s="2" t="s">
        <v>23</v>
      </c>
      <c r="B154" s="2" t="s">
        <v>557</v>
      </c>
      <c r="C154" s="5" t="s">
        <v>54</v>
      </c>
      <c r="D154" s="3">
        <v>4</v>
      </c>
      <c r="E154" s="2" t="s">
        <v>42</v>
      </c>
      <c r="F154" s="4" t="str">
        <f t="array" ref="F154">INDEX(Tasks!$B:$B, MATCH(C154, Tasks!$A:$A, 0))</f>
        <v>Scrub toilet bowls and urinals with brush and disinfect under seats.</v>
      </c>
      <c r="G154" s="4" t="e">
        <f t="array" aca="1" ref="G154" ca="1">_xludf.LET(
  _xlpm.task,$C154,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54" s="4" t="str">
        <f>IFERROR(IF(FIND("1",$D154),H$1,""),"")</f>
        <v/>
      </c>
      <c r="I154" s="4" t="str">
        <f>IFERROR(IF(FIND("2",$D154),I$1,""),"")</f>
        <v/>
      </c>
      <c r="J154" s="4" t="str">
        <f>IFERROR(IF(FIND("3",$D154),J$1,""),"")</f>
        <v/>
      </c>
      <c r="K154" s="4" t="str">
        <f>IFERROR(IF(FIND("4",$D154),K$1,""),"")</f>
        <v>Thu</v>
      </c>
      <c r="L154" s="4" t="str">
        <f>IFERROR(IF(FIND("5",$D154),L$1,""),"")</f>
        <v/>
      </c>
      <c r="M154" s="4" t="e">
        <f t="array" aca="1" ref="M154" ca="1">_xludf.CONCAT("every ",_xludf.TEXTJOIN(", ", TRUE, IF(H154:L154&lt;&gt;"", H154:L154, "")))</f>
        <v>#NAME?</v>
      </c>
    </row>
    <row r="155" spans="1:13" ht="15.75" customHeight="1" x14ac:dyDescent="0.25">
      <c r="A155" s="2" t="s">
        <v>23</v>
      </c>
      <c r="B155" s="2" t="s">
        <v>557</v>
      </c>
      <c r="C155" s="5" t="s">
        <v>55</v>
      </c>
      <c r="D155" s="3">
        <v>4</v>
      </c>
      <c r="E155" s="2" t="s">
        <v>42</v>
      </c>
      <c r="F155" s="4" t="str">
        <f t="array" ref="F155">INDEX(Tasks!$B:$B, MATCH(C155, Tasks!$A:$A, 0))</f>
        <v>Clean visibly dirty spots.</v>
      </c>
      <c r="G155" s="4" t="e">
        <f t="array" aca="1" ref="G155" ca="1">_xludf.LET(
  _xlpm.task,$C155,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55" s="4" t="str">
        <f>IFERROR(IF(FIND("1",$D155),H$1,""),"")</f>
        <v/>
      </c>
      <c r="I155" s="4" t="str">
        <f>IFERROR(IF(FIND("2",$D155),I$1,""),"")</f>
        <v/>
      </c>
      <c r="J155" s="4" t="str">
        <f>IFERROR(IF(FIND("3",$D155),J$1,""),"")</f>
        <v/>
      </c>
      <c r="K155" s="4" t="str">
        <f>IFERROR(IF(FIND("4",$D155),K$1,""),"")</f>
        <v>Thu</v>
      </c>
      <c r="L155" s="4" t="str">
        <f>IFERROR(IF(FIND("5",$D155),L$1,""),"")</f>
        <v/>
      </c>
      <c r="M155" s="4" t="e">
        <f t="array" aca="1" ref="M155" ca="1">_xludf.CONCAT("every ",_xludf.TEXTJOIN(", ", TRUE, IF(H155:L155&lt;&gt;"", H155:L155, "")))</f>
        <v>#NAME?</v>
      </c>
    </row>
    <row r="156" spans="1:13" ht="15.75" customHeight="1" x14ac:dyDescent="0.25">
      <c r="A156" s="2" t="s">
        <v>23</v>
      </c>
      <c r="B156" s="2" t="s">
        <v>557</v>
      </c>
      <c r="C156" s="5" t="s">
        <v>16</v>
      </c>
      <c r="D156" s="3">
        <v>14</v>
      </c>
      <c r="E156" s="2" t="s">
        <v>42</v>
      </c>
      <c r="F156" s="4" t="str">
        <f t="array" ref="F156">INDEX(Tasks!$B:$B, MATCH(C156, Tasks!$A:$A, 0))</f>
        <v>Refill Paper Towels, hand soap, Toilet Paper.</v>
      </c>
      <c r="G156" s="4" t="e">
        <f t="array" aca="1" ref="G156" ca="1">_xludf.LET(
  _xlpm.task,$C156,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56" s="4" t="str">
        <f>IFERROR(IF(FIND("1",$D156),H$1,""),"")</f>
        <v>Mon</v>
      </c>
      <c r="I156" s="4" t="str">
        <f>IFERROR(IF(FIND("2",$D156),I$1,""),"")</f>
        <v/>
      </c>
      <c r="J156" s="4" t="str">
        <f>IFERROR(IF(FIND("3",$D156),J$1,""),"")</f>
        <v/>
      </c>
      <c r="K156" s="4" t="str">
        <f>IFERROR(IF(FIND("4",$D156),K$1,""),"")</f>
        <v>Thu</v>
      </c>
      <c r="L156" s="4" t="str">
        <f>IFERROR(IF(FIND("5",$D156),L$1,""),"")</f>
        <v/>
      </c>
      <c r="M156" s="4" t="e">
        <f t="array" aca="1" ref="M156" ca="1">_xludf.CONCAT("every ",_xludf.TEXTJOIN(", ", TRUE, IF(H156:L156&lt;&gt;"", H156:L156, "")))</f>
        <v>#NAME?</v>
      </c>
    </row>
    <row r="157" spans="1:13" ht="15.75" customHeight="1" x14ac:dyDescent="0.25">
      <c r="A157" s="2" t="s">
        <v>23</v>
      </c>
      <c r="B157" s="2" t="s">
        <v>557</v>
      </c>
      <c r="C157" s="2" t="s">
        <v>17</v>
      </c>
      <c r="D157" s="3">
        <v>14</v>
      </c>
      <c r="E157" s="2" t="s">
        <v>42</v>
      </c>
      <c r="F157" s="4" t="str">
        <f t="array" ref="F157">INDEX(Tasks!$B:$B, MATCH(C157, Tasks!$A:$A, 0))</f>
        <v>Sweep Floors with broom.</v>
      </c>
      <c r="G157" s="4" t="e">
        <f t="array" aca="1" ref="G157" ca="1">_xludf.LET(
  _xlpm.task,$C157,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57" s="4" t="str">
        <f>IFERROR(IF(FIND("1",$D157),H$1,""),"")</f>
        <v>Mon</v>
      </c>
      <c r="I157" s="4" t="str">
        <f>IFERROR(IF(FIND("2",$D157),I$1,""),"")</f>
        <v/>
      </c>
      <c r="J157" s="4" t="str">
        <f>IFERROR(IF(FIND("3",$D157),J$1,""),"")</f>
        <v/>
      </c>
      <c r="K157" s="4" t="str">
        <f>IFERROR(IF(FIND("4",$D157),K$1,""),"")</f>
        <v>Thu</v>
      </c>
      <c r="L157" s="4" t="str">
        <f>IFERROR(IF(FIND("5",$D157),L$1,""),"")</f>
        <v/>
      </c>
      <c r="M157" s="4" t="e">
        <f t="array" aca="1" ref="M157" ca="1">_xludf.CONCAT("every ",_xludf.TEXTJOIN(", ", TRUE, IF(H157:L157&lt;&gt;"", H157:L157, "")))</f>
        <v>#NAME?</v>
      </c>
    </row>
    <row r="158" spans="1:13" ht="15.75" customHeight="1" x14ac:dyDescent="0.25">
      <c r="A158" s="2" t="s">
        <v>23</v>
      </c>
      <c r="B158" s="2" t="s">
        <v>557</v>
      </c>
      <c r="C158" s="5" t="s">
        <v>45</v>
      </c>
      <c r="D158" s="3">
        <v>14</v>
      </c>
      <c r="E158" s="2" t="s">
        <v>42</v>
      </c>
      <c r="F158" s="4" t="str">
        <f t="array" ref="F158">INDEX(Tasks!$B:$B, MATCH(C158, Tasks!$A:$A, 0))</f>
        <v>Spray with 2in1, wipe with Paper Towel.</v>
      </c>
      <c r="G158" s="4" t="e">
        <f t="array" aca="1" ref="G158" ca="1">_xludf.LET(
  _xlpm.task,$C158,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58" s="4" t="str">
        <f>IFERROR(IF(FIND("1",$D158),H$1,""),"")</f>
        <v>Mon</v>
      </c>
      <c r="I158" s="4" t="str">
        <f>IFERROR(IF(FIND("2",$D158),I$1,""),"")</f>
        <v/>
      </c>
      <c r="J158" s="4" t="str">
        <f>IFERROR(IF(FIND("3",$D158),J$1,""),"")</f>
        <v/>
      </c>
      <c r="K158" s="4" t="str">
        <f>IFERROR(IF(FIND("4",$D158),K$1,""),"")</f>
        <v>Thu</v>
      </c>
      <c r="L158" s="4" t="str">
        <f>IFERROR(IF(FIND("5",$D158),L$1,""),"")</f>
        <v/>
      </c>
      <c r="M158" s="4" t="e">
        <f t="array" aca="1" ref="M158" ca="1">_xludf.CONCAT("every ",_xludf.TEXTJOIN(", ", TRUE, IF(H158:L158&lt;&gt;"", H158:L158, "")))</f>
        <v>#NAME?</v>
      </c>
    </row>
    <row r="159" spans="1:13" ht="15.75" customHeight="1" x14ac:dyDescent="0.25">
      <c r="A159" s="2" t="s">
        <v>23</v>
      </c>
      <c r="B159" s="2" t="s">
        <v>557</v>
      </c>
      <c r="C159" s="5" t="s">
        <v>18</v>
      </c>
      <c r="D159" s="3">
        <v>14</v>
      </c>
      <c r="E159" s="2" t="s">
        <v>42</v>
      </c>
      <c r="F159" s="4" t="str">
        <f t="array" ref="F159">INDEX(Tasks!$B:$B, MATCH(C159, Tasks!$A:$A, 0))</f>
        <v>Spray with 2in1, wipe with Paper Towel.</v>
      </c>
      <c r="G159" s="4" t="e">
        <f t="array" aca="1" ref="G159" ca="1">_xludf.LET(
  _xlpm.task,$C159,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59" s="4" t="str">
        <f>IFERROR(IF(FIND("1",$D159),H$1,""),"")</f>
        <v>Mon</v>
      </c>
      <c r="I159" s="4" t="str">
        <f>IFERROR(IF(FIND("2",$D159),I$1,""),"")</f>
        <v/>
      </c>
      <c r="J159" s="4" t="str">
        <f>IFERROR(IF(FIND("3",$D159),J$1,""),"")</f>
        <v/>
      </c>
      <c r="K159" s="4" t="str">
        <f>IFERROR(IF(FIND("4",$D159),K$1,""),"")</f>
        <v>Thu</v>
      </c>
      <c r="L159" s="4" t="str">
        <f>IFERROR(IF(FIND("5",$D159),L$1,""),"")</f>
        <v/>
      </c>
      <c r="M159" s="4" t="e">
        <f t="array" aca="1" ref="M159" ca="1">_xludf.CONCAT("every ",_xludf.TEXTJOIN(", ", TRUE, IF(H159:L159&lt;&gt;"", H159:L159, "")))</f>
        <v>#NAME?</v>
      </c>
    </row>
    <row r="160" spans="1:13" ht="15.75" customHeight="1" x14ac:dyDescent="0.25">
      <c r="A160" s="2" t="s">
        <v>23</v>
      </c>
      <c r="B160" s="2" t="s">
        <v>557</v>
      </c>
      <c r="C160" s="5" t="s">
        <v>19</v>
      </c>
      <c r="D160" s="3">
        <v>14</v>
      </c>
      <c r="E160" s="2" t="s">
        <v>42</v>
      </c>
      <c r="F160" s="4" t="str">
        <f t="array" ref="F160">INDEX(Tasks!$B:$B, MATCH(C160, Tasks!$A:$A, 0))</f>
        <v>Spray Seat, Rim, and Handle with 2in1, wipe with Paper Towel.</v>
      </c>
      <c r="G160" s="4" t="e">
        <f t="array" aca="1" ref="G160" ca="1">_xludf.LET(
  _xlpm.task,$C160,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60" s="4" t="str">
        <f>IFERROR(IF(FIND("1",$D160),H$1,""),"")</f>
        <v>Mon</v>
      </c>
      <c r="I160" s="4" t="str">
        <f>IFERROR(IF(FIND("2",$D160),I$1,""),"")</f>
        <v/>
      </c>
      <c r="J160" s="4" t="str">
        <f>IFERROR(IF(FIND("3",$D160),J$1,""),"")</f>
        <v/>
      </c>
      <c r="K160" s="4" t="str">
        <f>IFERROR(IF(FIND("4",$D160),K$1,""),"")</f>
        <v>Thu</v>
      </c>
      <c r="L160" s="4" t="str">
        <f>IFERROR(IF(FIND("5",$D160),L$1,""),"")</f>
        <v/>
      </c>
      <c r="M160" s="4" t="e">
        <f t="array" aca="1" ref="M160" ca="1">_xludf.CONCAT("every ",_xludf.TEXTJOIN(", ", TRUE, IF(H160:L160&lt;&gt;"", H160:L160, "")))</f>
        <v>#NAME?</v>
      </c>
    </row>
    <row r="161" spans="1:13" ht="15.75" customHeight="1" x14ac:dyDescent="0.25">
      <c r="A161" s="2" t="s">
        <v>23</v>
      </c>
      <c r="B161" s="2" t="s">
        <v>557</v>
      </c>
      <c r="C161" s="5" t="s">
        <v>20</v>
      </c>
      <c r="D161" s="3">
        <v>14</v>
      </c>
      <c r="E161" s="2" t="s">
        <v>42</v>
      </c>
      <c r="F161" s="4" t="str">
        <f t="array" ref="F161">INDEX(Tasks!$B:$B, MATCH(C161, Tasks!$A:$A, 0))</f>
        <v>Spray Rim and Handle with 2in1, wipe with Paper Towel.</v>
      </c>
      <c r="G161" s="4" t="e">
        <f t="array" aca="1" ref="G161" ca="1">_xludf.LET(
  _xlpm.task,$C161,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61" s="4" t="str">
        <f>IFERROR(IF(FIND("1",$D161),H$1,""),"")</f>
        <v>Mon</v>
      </c>
      <c r="I161" s="4" t="str">
        <f>IFERROR(IF(FIND("2",$D161),I$1,""),"")</f>
        <v/>
      </c>
      <c r="J161" s="4" t="str">
        <f>IFERROR(IF(FIND("3",$D161),J$1,""),"")</f>
        <v/>
      </c>
      <c r="K161" s="4" t="str">
        <f>IFERROR(IF(FIND("4",$D161),K$1,""),"")</f>
        <v>Thu</v>
      </c>
      <c r="L161" s="4" t="str">
        <f>IFERROR(IF(FIND("5",$D161),L$1,""),"")</f>
        <v/>
      </c>
      <c r="M161" s="4" t="e">
        <f t="array" aca="1" ref="M161" ca="1">_xludf.CONCAT("every ",_xludf.TEXTJOIN(", ", TRUE, IF(H161:L161&lt;&gt;"", H161:L161, "")))</f>
        <v>#NAME?</v>
      </c>
    </row>
    <row r="162" spans="1:13" ht="15.75" customHeight="1" x14ac:dyDescent="0.25">
      <c r="A162" s="2" t="s">
        <v>23</v>
      </c>
      <c r="B162" s="2" t="s">
        <v>558</v>
      </c>
      <c r="C162" s="5" t="s">
        <v>15</v>
      </c>
      <c r="D162" s="3">
        <v>134</v>
      </c>
      <c r="E162" s="2" t="s">
        <v>42</v>
      </c>
      <c r="F162" s="4" t="str">
        <f t="array" ref="F162">INDEX(Tasks!$B:$B, MATCH(C162, Tasks!$A:$A, 0))</f>
        <v>Empty trash Including stall bags.</v>
      </c>
      <c r="G162" s="4" t="e">
        <f t="array" aca="1" ref="G162" ca="1">_xludf.LET(
  _xlpm.task,$C162,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62" s="4" t="str">
        <f>IFERROR(IF(FIND("1",$D162),H$1,""),"")</f>
        <v>Mon</v>
      </c>
      <c r="I162" s="4" t="str">
        <f>IFERROR(IF(FIND("2",$D162),I$1,""),"")</f>
        <v/>
      </c>
      <c r="J162" s="4" t="str">
        <f>IFERROR(IF(FIND("3",$D162),J$1,""),"")</f>
        <v>Wed</v>
      </c>
      <c r="K162" s="4" t="str">
        <f>IFERROR(IF(FIND("4",$D162),K$1,""),"")</f>
        <v>Thu</v>
      </c>
      <c r="L162" s="4" t="str">
        <f>IFERROR(IF(FIND("5",$D162),L$1,""),"")</f>
        <v/>
      </c>
      <c r="M162" s="4" t="e">
        <f t="array" aca="1" ref="M162" ca="1">_xludf.CONCAT("every ",_xludf.TEXTJOIN(", ", TRUE, IF(H162:L162&lt;&gt;"", H162:L162, "")))</f>
        <v>#NAME?</v>
      </c>
    </row>
    <row r="163" spans="1:13" ht="15.75" customHeight="1" x14ac:dyDescent="0.25">
      <c r="A163" s="2" t="s">
        <v>23</v>
      </c>
      <c r="B163" s="2" t="s">
        <v>558</v>
      </c>
      <c r="C163" s="2" t="s">
        <v>29</v>
      </c>
      <c r="D163" s="3">
        <v>4</v>
      </c>
      <c r="E163" s="2" t="s">
        <v>42</v>
      </c>
      <c r="F163" s="4" t="str">
        <f t="array" ref="F163">INDEX(Tasks!$B:$B, MATCH(C163, Tasks!$A:$A, 0))</f>
        <v>Mix 6oz floor cleaner and 3gal hot water in mop bucket.</v>
      </c>
      <c r="G163" s="4" t="e">
        <f t="array" aca="1" ref="G163" ca="1">_xludf.LET(
  _xlpm.task,$C163,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63" s="4" t="str">
        <f>IFERROR(IF(FIND("1",$D163),H$1,""),"")</f>
        <v/>
      </c>
      <c r="I163" s="4" t="str">
        <f>IFERROR(IF(FIND("2",$D163),I$1,""),"")</f>
        <v/>
      </c>
      <c r="J163" s="4" t="str">
        <f>IFERROR(IF(FIND("3",$D163),J$1,""),"")</f>
        <v/>
      </c>
      <c r="K163" s="4" t="str">
        <f>IFERROR(IF(FIND("4",$D163),K$1,""),"")</f>
        <v>Thu</v>
      </c>
      <c r="L163" s="4" t="str">
        <f>IFERROR(IF(FIND("5",$D163),L$1,""),"")</f>
        <v/>
      </c>
      <c r="M163" s="4" t="e">
        <f t="array" aca="1" ref="M163" ca="1">_xludf.CONCAT("every ",_xludf.TEXTJOIN(", ", TRUE, IF(H163:L163&lt;&gt;"", H163:L163, "")))</f>
        <v>#NAME?</v>
      </c>
    </row>
    <row r="164" spans="1:13" ht="15.75" customHeight="1" x14ac:dyDescent="0.25">
      <c r="A164" s="2" t="s">
        <v>23</v>
      </c>
      <c r="B164" s="2" t="s">
        <v>558</v>
      </c>
      <c r="C164" s="5" t="s">
        <v>43</v>
      </c>
      <c r="D164" s="3">
        <v>4</v>
      </c>
      <c r="E164" s="2" t="s">
        <v>42</v>
      </c>
      <c r="F164" s="4" t="str">
        <f t="array" ref="F164">INDEX(Tasks!$B:$B, MATCH(C164, Tasks!$A:$A, 0))</f>
        <v>Use Barkeepers Friend in bowl, Scrub with sink brush. Finish with 2in1 and Paper Towels.</v>
      </c>
      <c r="G164" s="4" t="e">
        <f t="array" aca="1" ref="G164" ca="1">_xludf.LET(
  _xlpm.task,$C164,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64" s="4" t="str">
        <f>IFERROR(IF(FIND("1",$D164),H$1,""),"")</f>
        <v/>
      </c>
      <c r="I164" s="4" t="str">
        <f>IFERROR(IF(FIND("2",$D164),I$1,""),"")</f>
        <v/>
      </c>
      <c r="J164" s="4" t="str">
        <f>IFERROR(IF(FIND("3",$D164),J$1,""),"")</f>
        <v/>
      </c>
      <c r="K164" s="4" t="str">
        <f>IFERROR(IF(FIND("4",$D164),K$1,""),"")</f>
        <v>Thu</v>
      </c>
      <c r="L164" s="4" t="str">
        <f>IFERROR(IF(FIND("5",$D164),L$1,""),"")</f>
        <v/>
      </c>
      <c r="M164" s="4" t="e">
        <f t="array" aca="1" ref="M164" ca="1">_xludf.CONCAT("every ",_xludf.TEXTJOIN(", ", TRUE, IF(H164:L164&lt;&gt;"", H164:L164, "")))</f>
        <v>#NAME?</v>
      </c>
    </row>
    <row r="165" spans="1:13" ht="15.75" customHeight="1" x14ac:dyDescent="0.25">
      <c r="A165" s="2" t="s">
        <v>23</v>
      </c>
      <c r="B165" s="2" t="s">
        <v>558</v>
      </c>
      <c r="C165" s="5" t="s">
        <v>53</v>
      </c>
      <c r="D165" s="3">
        <v>4</v>
      </c>
      <c r="E165" s="2" t="s">
        <v>42</v>
      </c>
      <c r="F165" s="4" t="str">
        <f t="array" ref="F165">INDEX(Tasks!$B:$B, MATCH(C165, Tasks!$A:$A, 0))</f>
        <v>Scrub Toilet Bowls with Toilet Bowl Cleaner and Toilet Brush. Spray entire Toilet with 2in1 and wipe with Paper Towels.</v>
      </c>
      <c r="G165" s="4" t="e">
        <f t="array" aca="1" ref="G165" ca="1">_xludf.LET(
  _xlpm.task,$C165,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65" s="4" t="str">
        <f>IFERROR(IF(FIND("1",$D165),H$1,""),"")</f>
        <v/>
      </c>
      <c r="I165" s="4" t="str">
        <f>IFERROR(IF(FIND("2",$D165),I$1,""),"")</f>
        <v/>
      </c>
      <c r="J165" s="4" t="str">
        <f>IFERROR(IF(FIND("3",$D165),J$1,""),"")</f>
        <v/>
      </c>
      <c r="K165" s="4" t="str">
        <f>IFERROR(IF(FIND("4",$D165),K$1,""),"")</f>
        <v>Thu</v>
      </c>
      <c r="L165" s="4" t="str">
        <f>IFERROR(IF(FIND("5",$D165),L$1,""),"")</f>
        <v/>
      </c>
      <c r="M165" s="4" t="e">
        <f t="array" aca="1" ref="M165" ca="1">_xludf.CONCAT("every ",_xludf.TEXTJOIN(", ", TRUE, IF(H165:L165&lt;&gt;"", H165:L165, "")))</f>
        <v>#NAME?</v>
      </c>
    </row>
    <row r="166" spans="1:13" ht="15.75" customHeight="1" x14ac:dyDescent="0.25">
      <c r="A166" s="2" t="s">
        <v>23</v>
      </c>
      <c r="B166" s="2" t="s">
        <v>558</v>
      </c>
      <c r="C166" s="5" t="s">
        <v>54</v>
      </c>
      <c r="D166" s="3">
        <v>4</v>
      </c>
      <c r="E166" s="2" t="s">
        <v>42</v>
      </c>
      <c r="F166" s="4" t="str">
        <f t="array" ref="F166">INDEX(Tasks!$B:$B, MATCH(C166, Tasks!$A:$A, 0))</f>
        <v>Scrub toilet bowls and urinals with brush and disinfect under seats.</v>
      </c>
      <c r="G166" s="4" t="e">
        <f t="array" aca="1" ref="G166" ca="1">_xludf.LET(
  _xlpm.task,$C166,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66" s="4" t="str">
        <f>IFERROR(IF(FIND("1",$D166),H$1,""),"")</f>
        <v/>
      </c>
      <c r="I166" s="4" t="str">
        <f>IFERROR(IF(FIND("2",$D166),I$1,""),"")</f>
        <v/>
      </c>
      <c r="J166" s="4" t="str">
        <f>IFERROR(IF(FIND("3",$D166),J$1,""),"")</f>
        <v/>
      </c>
      <c r="K166" s="4" t="str">
        <f>IFERROR(IF(FIND("4",$D166),K$1,""),"")</f>
        <v>Thu</v>
      </c>
      <c r="L166" s="4" t="str">
        <f>IFERROR(IF(FIND("5",$D166),L$1,""),"")</f>
        <v/>
      </c>
      <c r="M166" s="4" t="e">
        <f t="array" aca="1" ref="M166" ca="1">_xludf.CONCAT("every ",_xludf.TEXTJOIN(", ", TRUE, IF(H166:L166&lt;&gt;"", H166:L166, "")))</f>
        <v>#NAME?</v>
      </c>
    </row>
    <row r="167" spans="1:13" ht="15.75" customHeight="1" x14ac:dyDescent="0.25">
      <c r="A167" s="2" t="s">
        <v>23</v>
      </c>
      <c r="B167" s="2" t="s">
        <v>558</v>
      </c>
      <c r="C167" s="5" t="s">
        <v>55</v>
      </c>
      <c r="D167" s="3">
        <v>4</v>
      </c>
      <c r="E167" s="2" t="s">
        <v>42</v>
      </c>
      <c r="F167" s="4" t="str">
        <f t="array" ref="F167">INDEX(Tasks!$B:$B, MATCH(C167, Tasks!$A:$A, 0))</f>
        <v>Clean visibly dirty spots.</v>
      </c>
      <c r="G167" s="4" t="e">
        <f t="array" aca="1" ref="G167" ca="1">_xludf.LET(
  _xlpm.task,$C167,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67" s="4" t="str">
        <f>IFERROR(IF(FIND("1",$D167),H$1,""),"")</f>
        <v/>
      </c>
      <c r="I167" s="4" t="str">
        <f>IFERROR(IF(FIND("2",$D167),I$1,""),"")</f>
        <v/>
      </c>
      <c r="J167" s="4" t="str">
        <f>IFERROR(IF(FIND("3",$D167),J$1,""),"")</f>
        <v/>
      </c>
      <c r="K167" s="4" t="str">
        <f>IFERROR(IF(FIND("4",$D167),K$1,""),"")</f>
        <v>Thu</v>
      </c>
      <c r="L167" s="4" t="str">
        <f>IFERROR(IF(FIND("5",$D167),L$1,""),"")</f>
        <v/>
      </c>
      <c r="M167" s="4" t="e">
        <f t="array" aca="1" ref="M167" ca="1">_xludf.CONCAT("every ",_xludf.TEXTJOIN(", ", TRUE, IF(H167:L167&lt;&gt;"", H167:L167, "")))</f>
        <v>#NAME?</v>
      </c>
    </row>
    <row r="168" spans="1:13" ht="15.75" customHeight="1" x14ac:dyDescent="0.25">
      <c r="A168" s="2" t="s">
        <v>23</v>
      </c>
      <c r="B168" s="2" t="s">
        <v>558</v>
      </c>
      <c r="C168" s="5" t="s">
        <v>16</v>
      </c>
      <c r="D168" s="3">
        <v>134</v>
      </c>
      <c r="E168" s="2" t="s">
        <v>42</v>
      </c>
      <c r="F168" s="4" t="str">
        <f t="array" ref="F168">INDEX(Tasks!$B:$B, MATCH(C168, Tasks!$A:$A, 0))</f>
        <v>Refill Paper Towels, hand soap, Toilet Paper.</v>
      </c>
      <c r="G168" s="4" t="e">
        <f t="array" aca="1" ref="G168" ca="1">_xludf.LET(
  _xlpm.task,$C168,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68" s="4" t="str">
        <f>IFERROR(IF(FIND("1",$D168),H$1,""),"")</f>
        <v>Mon</v>
      </c>
      <c r="I168" s="4" t="str">
        <f>IFERROR(IF(FIND("2",$D168),I$1,""),"")</f>
        <v/>
      </c>
      <c r="J168" s="4" t="str">
        <f>IFERROR(IF(FIND("3",$D168),J$1,""),"")</f>
        <v>Wed</v>
      </c>
      <c r="K168" s="4" t="str">
        <f>IFERROR(IF(FIND("4",$D168),K$1,""),"")</f>
        <v>Thu</v>
      </c>
      <c r="L168" s="4" t="str">
        <f>IFERROR(IF(FIND("5",$D168),L$1,""),"")</f>
        <v/>
      </c>
      <c r="M168" s="4" t="e">
        <f t="array" aca="1" ref="M168" ca="1">_xludf.CONCAT("every ",_xludf.TEXTJOIN(", ", TRUE, IF(H168:L168&lt;&gt;"", H168:L168, "")))</f>
        <v>#NAME?</v>
      </c>
    </row>
    <row r="169" spans="1:13" ht="15.75" customHeight="1" x14ac:dyDescent="0.25">
      <c r="A169" s="2" t="s">
        <v>23</v>
      </c>
      <c r="B169" s="2" t="s">
        <v>558</v>
      </c>
      <c r="C169" s="2" t="s">
        <v>17</v>
      </c>
      <c r="D169" s="3">
        <v>134</v>
      </c>
      <c r="E169" s="2" t="s">
        <v>42</v>
      </c>
      <c r="F169" s="4" t="str">
        <f t="array" ref="F169">INDEX(Tasks!$B:$B, MATCH(C169, Tasks!$A:$A, 0))</f>
        <v>Sweep Floors with broom.</v>
      </c>
      <c r="G169" s="4" t="e">
        <f t="array" aca="1" ref="G169" ca="1">_xludf.LET(
  _xlpm.task,$C169,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69" s="4" t="str">
        <f>IFERROR(IF(FIND("1",$D169),H$1,""),"")</f>
        <v>Mon</v>
      </c>
      <c r="I169" s="4" t="str">
        <f>IFERROR(IF(FIND("2",$D169),I$1,""),"")</f>
        <v/>
      </c>
      <c r="J169" s="4" t="str">
        <f>IFERROR(IF(FIND("3",$D169),J$1,""),"")</f>
        <v>Wed</v>
      </c>
      <c r="K169" s="4" t="str">
        <f>IFERROR(IF(FIND("4",$D169),K$1,""),"")</f>
        <v>Thu</v>
      </c>
      <c r="L169" s="4" t="str">
        <f>IFERROR(IF(FIND("5",$D169),L$1,""),"")</f>
        <v/>
      </c>
      <c r="M169" s="4" t="e">
        <f t="array" aca="1" ref="M169" ca="1">_xludf.CONCAT("every ",_xludf.TEXTJOIN(", ", TRUE, IF(H169:L169&lt;&gt;"", H169:L169, "")))</f>
        <v>#NAME?</v>
      </c>
    </row>
    <row r="170" spans="1:13" ht="15.75" customHeight="1" x14ac:dyDescent="0.25">
      <c r="A170" s="2" t="s">
        <v>23</v>
      </c>
      <c r="B170" s="2" t="s">
        <v>558</v>
      </c>
      <c r="C170" s="5" t="s">
        <v>45</v>
      </c>
      <c r="D170" s="3">
        <v>134</v>
      </c>
      <c r="E170" s="2" t="s">
        <v>42</v>
      </c>
      <c r="F170" s="4" t="str">
        <f t="array" ref="F170">INDEX(Tasks!$B:$B, MATCH(C170, Tasks!$A:$A, 0))</f>
        <v>Spray with 2in1, wipe with Paper Towel.</v>
      </c>
      <c r="G170" s="4" t="e">
        <f t="array" aca="1" ref="G170" ca="1">_xludf.LET(
  _xlpm.task,$C170,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70" s="4" t="str">
        <f>IFERROR(IF(FIND("1",$D170),H$1,""),"")</f>
        <v>Mon</v>
      </c>
      <c r="I170" s="4" t="str">
        <f>IFERROR(IF(FIND("2",$D170),I$1,""),"")</f>
        <v/>
      </c>
      <c r="J170" s="4" t="str">
        <f>IFERROR(IF(FIND("3",$D170),J$1,""),"")</f>
        <v>Wed</v>
      </c>
      <c r="K170" s="4" t="str">
        <f>IFERROR(IF(FIND("4",$D170),K$1,""),"")</f>
        <v>Thu</v>
      </c>
      <c r="L170" s="4" t="str">
        <f>IFERROR(IF(FIND("5",$D170),L$1,""),"")</f>
        <v/>
      </c>
      <c r="M170" s="4" t="e">
        <f t="array" aca="1" ref="M170" ca="1">_xludf.CONCAT("every ",_xludf.TEXTJOIN(", ", TRUE, IF(H170:L170&lt;&gt;"", H170:L170, "")))</f>
        <v>#NAME?</v>
      </c>
    </row>
    <row r="171" spans="1:13" ht="15.75" customHeight="1" x14ac:dyDescent="0.25">
      <c r="A171" s="2" t="s">
        <v>23</v>
      </c>
      <c r="B171" s="2" t="s">
        <v>558</v>
      </c>
      <c r="C171" s="5" t="s">
        <v>18</v>
      </c>
      <c r="D171" s="3">
        <v>134</v>
      </c>
      <c r="E171" s="2" t="s">
        <v>42</v>
      </c>
      <c r="F171" s="4" t="str">
        <f t="array" ref="F171">INDEX(Tasks!$B:$B, MATCH(C171, Tasks!$A:$A, 0))</f>
        <v>Spray with 2in1, wipe with Paper Towel.</v>
      </c>
      <c r="G171" s="4" t="e">
        <f t="array" aca="1" ref="G171" ca="1">_xludf.LET(
  _xlpm.task,$C171,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71" s="4" t="str">
        <f>IFERROR(IF(FIND("1",$D171),H$1,""),"")</f>
        <v>Mon</v>
      </c>
      <c r="I171" s="4" t="str">
        <f>IFERROR(IF(FIND("2",$D171),I$1,""),"")</f>
        <v/>
      </c>
      <c r="J171" s="4" t="str">
        <f>IFERROR(IF(FIND("3",$D171),J$1,""),"")</f>
        <v>Wed</v>
      </c>
      <c r="K171" s="4" t="str">
        <f>IFERROR(IF(FIND("4",$D171),K$1,""),"")</f>
        <v>Thu</v>
      </c>
      <c r="L171" s="4" t="str">
        <f>IFERROR(IF(FIND("5",$D171),L$1,""),"")</f>
        <v/>
      </c>
      <c r="M171" s="4" t="e">
        <f t="array" aca="1" ref="M171" ca="1">_xludf.CONCAT("every ",_xludf.TEXTJOIN(", ", TRUE, IF(H171:L171&lt;&gt;"", H171:L171, "")))</f>
        <v>#NAME?</v>
      </c>
    </row>
    <row r="172" spans="1:13" ht="15.75" customHeight="1" x14ac:dyDescent="0.25">
      <c r="A172" s="2" t="s">
        <v>23</v>
      </c>
      <c r="B172" s="2" t="s">
        <v>558</v>
      </c>
      <c r="C172" s="5" t="s">
        <v>19</v>
      </c>
      <c r="D172" s="3">
        <v>134</v>
      </c>
      <c r="E172" s="2" t="s">
        <v>42</v>
      </c>
      <c r="F172" s="4" t="str">
        <f t="array" ref="F172">INDEX(Tasks!$B:$B, MATCH(C172, Tasks!$A:$A, 0))</f>
        <v>Spray Seat, Rim, and Handle with 2in1, wipe with Paper Towel.</v>
      </c>
      <c r="G172" s="4" t="e">
        <f t="array" aca="1" ref="G172" ca="1">_xludf.LET(
  _xlpm.task,$C172,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72" s="4" t="str">
        <f>IFERROR(IF(FIND("1",$D172),H$1,""),"")</f>
        <v>Mon</v>
      </c>
      <c r="I172" s="4" t="str">
        <f>IFERROR(IF(FIND("2",$D172),I$1,""),"")</f>
        <v/>
      </c>
      <c r="J172" s="4" t="str">
        <f>IFERROR(IF(FIND("3",$D172),J$1,""),"")</f>
        <v>Wed</v>
      </c>
      <c r="K172" s="4" t="str">
        <f>IFERROR(IF(FIND("4",$D172),K$1,""),"")</f>
        <v>Thu</v>
      </c>
      <c r="L172" s="4" t="str">
        <f>IFERROR(IF(FIND("5",$D172),L$1,""),"")</f>
        <v/>
      </c>
      <c r="M172" s="4" t="e">
        <f t="array" aca="1" ref="M172" ca="1">_xludf.CONCAT("every ",_xludf.TEXTJOIN(", ", TRUE, IF(H172:L172&lt;&gt;"", H172:L172, "")))</f>
        <v>#NAME?</v>
      </c>
    </row>
    <row r="173" spans="1:13" ht="15.75" customHeight="1" x14ac:dyDescent="0.25">
      <c r="A173" s="2" t="s">
        <v>23</v>
      </c>
      <c r="B173" s="2" t="s">
        <v>558</v>
      </c>
      <c r="C173" s="5" t="s">
        <v>20</v>
      </c>
      <c r="D173" s="3">
        <v>134</v>
      </c>
      <c r="E173" s="2" t="s">
        <v>42</v>
      </c>
      <c r="F173" s="4" t="str">
        <f t="array" ref="F173">INDEX(Tasks!$B:$B, MATCH(C173, Tasks!$A:$A, 0))</f>
        <v>Spray Rim and Handle with 2in1, wipe with Paper Towel.</v>
      </c>
      <c r="G173" s="4" t="e">
        <f t="array" aca="1" ref="G173" ca="1">_xludf.LET(
  _xlpm.task,$C173,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73" s="4" t="str">
        <f>IFERROR(IF(FIND("1",$D173),H$1,""),"")</f>
        <v>Mon</v>
      </c>
      <c r="I173" s="4" t="str">
        <f>IFERROR(IF(FIND("2",$D173),I$1,""),"")</f>
        <v/>
      </c>
      <c r="J173" s="4" t="str">
        <f>IFERROR(IF(FIND("3",$D173),J$1,""),"")</f>
        <v>Wed</v>
      </c>
      <c r="K173" s="4" t="str">
        <f>IFERROR(IF(FIND("4",$D173),K$1,""),"")</f>
        <v>Thu</v>
      </c>
      <c r="L173" s="4" t="str">
        <f>IFERROR(IF(FIND("5",$D173),L$1,""),"")</f>
        <v/>
      </c>
      <c r="M173" s="4" t="e">
        <f t="array" aca="1" ref="M173" ca="1">_xludf.CONCAT("every ",_xludf.TEXTJOIN(", ", TRUE, IF(H173:L173&lt;&gt;"", H173:L173, "")))</f>
        <v>#NAME?</v>
      </c>
    </row>
    <row r="174" spans="1:13" ht="15.75" customHeight="1" x14ac:dyDescent="0.25">
      <c r="A174" s="2" t="s">
        <v>12</v>
      </c>
      <c r="B174" s="2" t="s">
        <v>559</v>
      </c>
      <c r="C174" s="5" t="s">
        <v>15</v>
      </c>
      <c r="D174" s="3">
        <v>12345</v>
      </c>
      <c r="E174" s="2" t="s">
        <v>14</v>
      </c>
      <c r="F174" s="4" t="str">
        <f t="array" ref="F174">INDEX(Tasks!$B:$B, MATCH(C174, Tasks!$A:$A, 0))</f>
        <v>Empty trash Including stall bags.</v>
      </c>
      <c r="G174" s="4" t="e">
        <f t="array" aca="1" ref="G174" ca="1">_xludf.LET(
  _xlpm.task,$C174,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74" s="4" t="str">
        <f>IFERROR(IF(FIND("1",$D174),H$1,""),"")</f>
        <v>Mon</v>
      </c>
      <c r="I174" s="4" t="str">
        <f>IFERROR(IF(FIND("2",$D174),I$1,""),"")</f>
        <v>Tue</v>
      </c>
      <c r="J174" s="4" t="str">
        <f>IFERROR(IF(FIND("3",$D174),J$1,""),"")</f>
        <v>Wed</v>
      </c>
      <c r="K174" s="4" t="str">
        <f>IFERROR(IF(FIND("4",$D174),K$1,""),"")</f>
        <v>Thu</v>
      </c>
      <c r="L174" s="4" t="str">
        <f>IFERROR(IF(FIND("5",$D174),L$1,""),"")</f>
        <v>Fri</v>
      </c>
      <c r="M174" s="4" t="e">
        <f t="array" aca="1" ref="M174" ca="1">_xludf.CONCAT("every ",_xludf.TEXTJOIN(", ", TRUE, IF(H174:L174&lt;&gt;"", H174:L174, "")))</f>
        <v>#NAME?</v>
      </c>
    </row>
    <row r="175" spans="1:13" ht="15.75" customHeight="1" x14ac:dyDescent="0.25">
      <c r="A175" s="2" t="s">
        <v>12</v>
      </c>
      <c r="B175" s="2" t="s">
        <v>559</v>
      </c>
      <c r="C175" s="2" t="s">
        <v>29</v>
      </c>
      <c r="D175" s="3">
        <v>5</v>
      </c>
      <c r="E175" s="2" t="s">
        <v>42</v>
      </c>
      <c r="F175" s="4" t="str">
        <f t="array" ref="F175">INDEX(Tasks!$B:$B, MATCH(C175, Tasks!$A:$A, 0))</f>
        <v>Mix 6oz floor cleaner and 3gal hot water in mop bucket.</v>
      </c>
      <c r="G175" s="4" t="e">
        <f t="array" aca="1" ref="G175" ca="1">_xludf.LET(
  _xlpm.task,$C175,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75" s="4" t="str">
        <f>IFERROR(IF(FIND("1",$D175),H$1,""),"")</f>
        <v/>
      </c>
      <c r="I175" s="4" t="str">
        <f>IFERROR(IF(FIND("2",$D175),I$1,""),"")</f>
        <v/>
      </c>
      <c r="J175" s="4" t="str">
        <f>IFERROR(IF(FIND("3",$D175),J$1,""),"")</f>
        <v/>
      </c>
      <c r="K175" s="4" t="str">
        <f>IFERROR(IF(FIND("4",$D175),K$1,""),"")</f>
        <v/>
      </c>
      <c r="L175" s="4" t="str">
        <f>IFERROR(IF(FIND("5",$D175),L$1,""),"")</f>
        <v>Fri</v>
      </c>
      <c r="M175" s="4" t="e">
        <f t="array" aca="1" ref="M175" ca="1">_xludf.CONCAT("every ",_xludf.TEXTJOIN(", ", TRUE, IF(H175:L175&lt;&gt;"", H175:L175, "")))</f>
        <v>#NAME?</v>
      </c>
    </row>
    <row r="176" spans="1:13" ht="15.75" customHeight="1" x14ac:dyDescent="0.25">
      <c r="A176" s="2" t="s">
        <v>12</v>
      </c>
      <c r="B176" s="2" t="s">
        <v>559</v>
      </c>
      <c r="C176" s="5" t="s">
        <v>53</v>
      </c>
      <c r="D176" s="3">
        <v>5</v>
      </c>
      <c r="E176" s="2" t="s">
        <v>42</v>
      </c>
      <c r="F176" s="4" t="str">
        <f t="array" ref="F176">INDEX(Tasks!$B:$B, MATCH(C176, Tasks!$A:$A, 0))</f>
        <v>Scrub Toilet Bowls with Toilet Bowl Cleaner and Toilet Brush. Spray entire Toilet with 2in1 and wipe with Paper Towels.</v>
      </c>
      <c r="G176" s="4" t="e">
        <f t="array" aca="1" ref="G176" ca="1">_xludf.LET(
  _xlpm.task,$C176,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76" s="4" t="str">
        <f>IFERROR(IF(FIND("1",$D176),H$1,""),"")</f>
        <v/>
      </c>
      <c r="I176" s="4" t="str">
        <f>IFERROR(IF(FIND("2",$D176),I$1,""),"")</f>
        <v/>
      </c>
      <c r="J176" s="4" t="str">
        <f>IFERROR(IF(FIND("3",$D176),J$1,""),"")</f>
        <v/>
      </c>
      <c r="K176" s="4" t="str">
        <f>IFERROR(IF(FIND("4",$D176),K$1,""),"")</f>
        <v/>
      </c>
      <c r="L176" s="4" t="str">
        <f>IFERROR(IF(FIND("5",$D176),L$1,""),"")</f>
        <v>Fri</v>
      </c>
      <c r="M176" s="4" t="e">
        <f t="array" aca="1" ref="M176" ca="1">_xludf.CONCAT("every ",_xludf.TEXTJOIN(", ", TRUE, IF(H176:L176&lt;&gt;"", H176:L176, "")))</f>
        <v>#NAME?</v>
      </c>
    </row>
    <row r="177" spans="1:13" ht="15.75" customHeight="1" x14ac:dyDescent="0.25">
      <c r="A177" s="2" t="s">
        <v>12</v>
      </c>
      <c r="B177" s="2" t="s">
        <v>559</v>
      </c>
      <c r="C177" s="5" t="s">
        <v>54</v>
      </c>
      <c r="D177" s="3">
        <v>5</v>
      </c>
      <c r="E177" s="2" t="s">
        <v>42</v>
      </c>
      <c r="F177" s="4" t="str">
        <f t="array" ref="F177">INDEX(Tasks!$B:$B, MATCH(C177, Tasks!$A:$A, 0))</f>
        <v>Scrub toilet bowls and urinals with brush and disinfect under seats.</v>
      </c>
      <c r="G177" s="4" t="e">
        <f t="array" aca="1" ref="G177" ca="1">_xludf.LET(
  _xlpm.task,$C177,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77" s="4" t="str">
        <f>IFERROR(IF(FIND("1",$D177),H$1,""),"")</f>
        <v/>
      </c>
      <c r="I177" s="4" t="str">
        <f>IFERROR(IF(FIND("2",$D177),I$1,""),"")</f>
        <v/>
      </c>
      <c r="J177" s="4" t="str">
        <f>IFERROR(IF(FIND("3",$D177),J$1,""),"")</f>
        <v/>
      </c>
      <c r="K177" s="4" t="str">
        <f>IFERROR(IF(FIND("4",$D177),K$1,""),"")</f>
        <v/>
      </c>
      <c r="L177" s="4" t="str">
        <f>IFERROR(IF(FIND("5",$D177),L$1,""),"")</f>
        <v>Fri</v>
      </c>
      <c r="M177" s="4" t="e">
        <f t="array" aca="1" ref="M177" ca="1">_xludf.CONCAT("every ",_xludf.TEXTJOIN(", ", TRUE, IF(H177:L177&lt;&gt;"", H177:L177, "")))</f>
        <v>#NAME?</v>
      </c>
    </row>
    <row r="178" spans="1:13" ht="15.75" customHeight="1" x14ac:dyDescent="0.25">
      <c r="A178" s="2" t="s">
        <v>12</v>
      </c>
      <c r="B178" s="2" t="s">
        <v>559</v>
      </c>
      <c r="C178" s="5" t="s">
        <v>55</v>
      </c>
      <c r="D178" s="3">
        <v>5</v>
      </c>
      <c r="E178" s="2" t="s">
        <v>42</v>
      </c>
      <c r="F178" s="4" t="str">
        <f t="array" ref="F178">INDEX(Tasks!$B:$B, MATCH(C178, Tasks!$A:$A, 0))</f>
        <v>Clean visibly dirty spots.</v>
      </c>
      <c r="G178" s="4" t="e">
        <f t="array" aca="1" ref="G178" ca="1">_xludf.LET(
  _xlpm.task,$C178,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78" s="4" t="str">
        <f>IFERROR(IF(FIND("1",$D178),H$1,""),"")</f>
        <v/>
      </c>
      <c r="I178" s="4" t="str">
        <f>IFERROR(IF(FIND("2",$D178),I$1,""),"")</f>
        <v/>
      </c>
      <c r="J178" s="4" t="str">
        <f>IFERROR(IF(FIND("3",$D178),J$1,""),"")</f>
        <v/>
      </c>
      <c r="K178" s="4" t="str">
        <f>IFERROR(IF(FIND("4",$D178),K$1,""),"")</f>
        <v/>
      </c>
      <c r="L178" s="4" t="str">
        <f>IFERROR(IF(FIND("5",$D178),L$1,""),"")</f>
        <v>Fri</v>
      </c>
      <c r="M178" s="4" t="e">
        <f t="array" aca="1" ref="M178" ca="1">_xludf.CONCAT("every ",_xludf.TEXTJOIN(", ", TRUE, IF(H178:L178&lt;&gt;"", H178:L178, "")))</f>
        <v>#NAME?</v>
      </c>
    </row>
    <row r="179" spans="1:13" ht="15.75" customHeight="1" x14ac:dyDescent="0.25">
      <c r="A179" s="2" t="s">
        <v>12</v>
      </c>
      <c r="B179" s="2" t="s">
        <v>559</v>
      </c>
      <c r="C179" s="5" t="s">
        <v>16</v>
      </c>
      <c r="D179" s="3">
        <v>12345</v>
      </c>
      <c r="E179" s="2" t="s">
        <v>14</v>
      </c>
      <c r="F179" s="4" t="str">
        <f t="array" ref="F179">INDEX(Tasks!$B:$B, MATCH(C179, Tasks!$A:$A, 0))</f>
        <v>Refill Paper Towels, hand soap, Toilet Paper.</v>
      </c>
      <c r="G179" s="4" t="e">
        <f t="array" aca="1" ref="G179" ca="1">_xludf.LET(
  _xlpm.task,$C179,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79" s="4" t="str">
        <f>IFERROR(IF(FIND("1",$D179),H$1,""),"")</f>
        <v>Mon</v>
      </c>
      <c r="I179" s="4" t="str">
        <f>IFERROR(IF(FIND("2",$D179),I$1,""),"")</f>
        <v>Tue</v>
      </c>
      <c r="J179" s="4" t="str">
        <f>IFERROR(IF(FIND("3",$D179),J$1,""),"")</f>
        <v>Wed</v>
      </c>
      <c r="K179" s="4" t="str">
        <f>IFERROR(IF(FIND("4",$D179),K$1,""),"")</f>
        <v>Thu</v>
      </c>
      <c r="L179" s="4" t="str">
        <f>IFERROR(IF(FIND("5",$D179),L$1,""),"")</f>
        <v>Fri</v>
      </c>
      <c r="M179" s="4" t="e">
        <f t="array" aca="1" ref="M179" ca="1">_xludf.CONCAT("every ",_xludf.TEXTJOIN(", ", TRUE, IF(H179:L179&lt;&gt;"", H179:L179, "")))</f>
        <v>#NAME?</v>
      </c>
    </row>
    <row r="180" spans="1:13" ht="15.75" customHeight="1" x14ac:dyDescent="0.25">
      <c r="A180" s="2" t="s">
        <v>12</v>
      </c>
      <c r="B180" s="2" t="s">
        <v>559</v>
      </c>
      <c r="C180" s="2" t="s">
        <v>17</v>
      </c>
      <c r="D180" s="3">
        <v>12345</v>
      </c>
      <c r="E180" s="2" t="s">
        <v>14</v>
      </c>
      <c r="F180" s="4" t="str">
        <f t="array" ref="F180">INDEX(Tasks!$B:$B, MATCH(C180, Tasks!$A:$A, 0))</f>
        <v>Sweep Floors with broom.</v>
      </c>
      <c r="G180" s="4" t="e">
        <f t="array" aca="1" ref="G180" ca="1">_xludf.LET(
  _xlpm.task,$C180,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80" s="4" t="str">
        <f>IFERROR(IF(FIND("1",$D180),H$1,""),"")</f>
        <v>Mon</v>
      </c>
      <c r="I180" s="4" t="str">
        <f>IFERROR(IF(FIND("2",$D180),I$1,""),"")</f>
        <v>Tue</v>
      </c>
      <c r="J180" s="4" t="str">
        <f>IFERROR(IF(FIND("3",$D180),J$1,""),"")</f>
        <v>Wed</v>
      </c>
      <c r="K180" s="4" t="str">
        <f>IFERROR(IF(FIND("4",$D180),K$1,""),"")</f>
        <v>Thu</v>
      </c>
      <c r="L180" s="4" t="str">
        <f>IFERROR(IF(FIND("5",$D180),L$1,""),"")</f>
        <v>Fri</v>
      </c>
      <c r="M180" s="4" t="e">
        <f t="array" aca="1" ref="M180" ca="1">_xludf.CONCAT("every ",_xludf.TEXTJOIN(", ", TRUE, IF(H180:L180&lt;&gt;"", H180:L180, "")))</f>
        <v>#NAME?</v>
      </c>
    </row>
    <row r="181" spans="1:13" ht="15.75" customHeight="1" x14ac:dyDescent="0.25">
      <c r="A181" s="2" t="s">
        <v>12</v>
      </c>
      <c r="B181" s="2" t="s">
        <v>559</v>
      </c>
      <c r="C181" s="5" t="s">
        <v>18</v>
      </c>
      <c r="D181" s="3">
        <v>12345</v>
      </c>
      <c r="E181" s="2" t="s">
        <v>14</v>
      </c>
      <c r="F181" s="4" t="str">
        <f t="array" ref="F181">INDEX(Tasks!$B:$B, MATCH(C181, Tasks!$A:$A, 0))</f>
        <v>Spray with 2in1, wipe with Paper Towel.</v>
      </c>
      <c r="G181" s="4" t="e">
        <f t="array" aca="1" ref="G181" ca="1">_xludf.LET(
  _xlpm.task,$C181,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81" s="4" t="str">
        <f>IFERROR(IF(FIND("1",$D181),H$1,""),"")</f>
        <v>Mon</v>
      </c>
      <c r="I181" s="4" t="str">
        <f>IFERROR(IF(FIND("2",$D181),I$1,""),"")</f>
        <v>Tue</v>
      </c>
      <c r="J181" s="4" t="str">
        <f>IFERROR(IF(FIND("3",$D181),J$1,""),"")</f>
        <v>Wed</v>
      </c>
      <c r="K181" s="4" t="str">
        <f>IFERROR(IF(FIND("4",$D181),K$1,""),"")</f>
        <v>Thu</v>
      </c>
      <c r="L181" s="4" t="str">
        <f>IFERROR(IF(FIND("5",$D181),L$1,""),"")</f>
        <v>Fri</v>
      </c>
      <c r="M181" s="4" t="e">
        <f t="array" aca="1" ref="M181" ca="1">_xludf.CONCAT("every ",_xludf.TEXTJOIN(", ", TRUE, IF(H181:L181&lt;&gt;"", H181:L181, "")))</f>
        <v>#NAME?</v>
      </c>
    </row>
    <row r="182" spans="1:13" ht="15.75" customHeight="1" x14ac:dyDescent="0.25">
      <c r="A182" s="2" t="s">
        <v>12</v>
      </c>
      <c r="B182" s="2" t="s">
        <v>559</v>
      </c>
      <c r="C182" s="5" t="s">
        <v>19</v>
      </c>
      <c r="D182" s="3">
        <v>12345</v>
      </c>
      <c r="E182" s="2" t="s">
        <v>14</v>
      </c>
      <c r="F182" s="4" t="str">
        <f t="array" ref="F182">INDEX(Tasks!$B:$B, MATCH(C182, Tasks!$A:$A, 0))</f>
        <v>Spray Seat, Rim, and Handle with 2in1, wipe with Paper Towel.</v>
      </c>
      <c r="G182" s="4" t="e">
        <f t="array" aca="1" ref="G182" ca="1">_xludf.LET(
  _xlpm.task,$C182,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82" s="4" t="str">
        <f>IFERROR(IF(FIND("1",$D182),H$1,""),"")</f>
        <v>Mon</v>
      </c>
      <c r="I182" s="4" t="str">
        <f>IFERROR(IF(FIND("2",$D182),I$1,""),"")</f>
        <v>Tue</v>
      </c>
      <c r="J182" s="4" t="str">
        <f>IFERROR(IF(FIND("3",$D182),J$1,""),"")</f>
        <v>Wed</v>
      </c>
      <c r="K182" s="4" t="str">
        <f>IFERROR(IF(FIND("4",$D182),K$1,""),"")</f>
        <v>Thu</v>
      </c>
      <c r="L182" s="4" t="str">
        <f>IFERROR(IF(FIND("5",$D182),L$1,""),"")</f>
        <v>Fri</v>
      </c>
      <c r="M182" s="4" t="e">
        <f t="array" aca="1" ref="M182" ca="1">_xludf.CONCAT("every ",_xludf.TEXTJOIN(", ", TRUE, IF(H182:L182&lt;&gt;"", H182:L182, "")))</f>
        <v>#NAME?</v>
      </c>
    </row>
    <row r="183" spans="1:13" ht="15.75" customHeight="1" x14ac:dyDescent="0.25">
      <c r="A183" s="2" t="s">
        <v>12</v>
      </c>
      <c r="B183" s="2" t="s">
        <v>559</v>
      </c>
      <c r="C183" s="5" t="s">
        <v>20</v>
      </c>
      <c r="D183" s="3">
        <v>12345</v>
      </c>
      <c r="E183" s="2" t="s">
        <v>14</v>
      </c>
      <c r="F183" s="4" t="str">
        <f t="array" ref="F183">INDEX(Tasks!$B:$B, MATCH(C183, Tasks!$A:$A, 0))</f>
        <v>Spray Rim and Handle with 2in1, wipe with Paper Towel.</v>
      </c>
      <c r="G183" s="4" t="e">
        <f t="array" aca="1" ref="G183" ca="1">_xludf.LET(
  _xlpm.task,$C183,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83" s="4" t="str">
        <f>IFERROR(IF(FIND("1",$D183),H$1,""),"")</f>
        <v>Mon</v>
      </c>
      <c r="I183" s="4" t="str">
        <f>IFERROR(IF(FIND("2",$D183),I$1,""),"")</f>
        <v>Tue</v>
      </c>
      <c r="J183" s="4" t="str">
        <f>IFERROR(IF(FIND("3",$D183),J$1,""),"")</f>
        <v>Wed</v>
      </c>
      <c r="K183" s="4" t="str">
        <f>IFERROR(IF(FIND("4",$D183),K$1,""),"")</f>
        <v>Thu</v>
      </c>
      <c r="L183" s="4" t="str">
        <f>IFERROR(IF(FIND("5",$D183),L$1,""),"")</f>
        <v>Fri</v>
      </c>
      <c r="M183" s="4" t="e">
        <f t="array" aca="1" ref="M183" ca="1">_xludf.CONCAT("every ",_xludf.TEXTJOIN(", ", TRUE, IF(H183:L183&lt;&gt;"", H183:L183, "")))</f>
        <v>#NAME?</v>
      </c>
    </row>
    <row r="184" spans="1:13" ht="15.75" customHeight="1" x14ac:dyDescent="0.25">
      <c r="A184" s="2" t="s">
        <v>23</v>
      </c>
      <c r="B184" s="2" t="s">
        <v>560</v>
      </c>
      <c r="C184" s="5" t="s">
        <v>47</v>
      </c>
      <c r="D184" s="3">
        <v>135</v>
      </c>
      <c r="E184" s="2" t="s">
        <v>42</v>
      </c>
      <c r="F184" s="4" t="str">
        <f t="array" ref="F184">INDEX(Tasks!$B:$B, MATCH(C184, Tasks!$A:$A, 0))</f>
        <v>Spray 2in1 on a Paper Towel and wipe down surfaces.</v>
      </c>
      <c r="G184" s="4" t="e">
        <f t="array" aca="1" ref="G184" ca="1">_xludf.LET(
  _xlpm.task,$C184,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84" s="4" t="str">
        <f>IFERROR(IF(FIND("1",$D184),H$1,""),"")</f>
        <v>Mon</v>
      </c>
      <c r="I184" s="4" t="str">
        <f>IFERROR(IF(FIND("2",$D184),I$1,""),"")</f>
        <v/>
      </c>
      <c r="J184" s="4" t="str">
        <f>IFERROR(IF(FIND("3",$D184),J$1,""),"")</f>
        <v>Wed</v>
      </c>
      <c r="K184" s="4" t="str">
        <f>IFERROR(IF(FIND("4",$D184),K$1,""),"")</f>
        <v/>
      </c>
      <c r="L184" s="4" t="str">
        <f>IFERROR(IF(FIND("5",$D184),L$1,""),"")</f>
        <v>Fri</v>
      </c>
      <c r="M184" s="4" t="e">
        <f t="array" aca="1" ref="M184" ca="1">_xludf.CONCAT("every ",_xludf.TEXTJOIN(", ", TRUE, IF(H184:L184&lt;&gt;"", H184:L184, "")))</f>
        <v>#NAME?</v>
      </c>
    </row>
    <row r="185" spans="1:13" ht="15.75" customHeight="1" x14ac:dyDescent="0.25">
      <c r="A185" s="2" t="s">
        <v>23</v>
      </c>
      <c r="B185" s="2" t="s">
        <v>560</v>
      </c>
      <c r="C185" s="5" t="s">
        <v>48</v>
      </c>
      <c r="D185" s="3">
        <v>1</v>
      </c>
      <c r="E185" s="2" t="s">
        <v>42</v>
      </c>
      <c r="F185" s="4" t="str">
        <f t="array" ref="F185">INDEX(Tasks!$B:$B, MATCH(C185, Tasks!$A:$A, 0))</f>
        <v>Empty from below.</v>
      </c>
      <c r="G185" s="4" t="e">
        <f t="array" aca="1" ref="G185" ca="1">_xludf.LET(
  _xlpm.task,$C185,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85" s="4" t="str">
        <f>IFERROR(IF(FIND("1",$D185),H$1,""),"")</f>
        <v>Mon</v>
      </c>
      <c r="I185" s="4" t="str">
        <f>IFERROR(IF(FIND("2",$D185),I$1,""),"")</f>
        <v/>
      </c>
      <c r="J185" s="4" t="str">
        <f>IFERROR(IF(FIND("3",$D185),J$1,""),"")</f>
        <v/>
      </c>
      <c r="K185" s="4" t="str">
        <f>IFERROR(IF(FIND("4",$D185),K$1,""),"")</f>
        <v/>
      </c>
      <c r="L185" s="4" t="str">
        <f>IFERROR(IF(FIND("5",$D185),L$1,""),"")</f>
        <v/>
      </c>
      <c r="M185" s="4" t="e">
        <f t="array" aca="1" ref="M185" ca="1">_xludf.CONCAT("every ",_xludf.TEXTJOIN(", ", TRUE, IF(H185:L185&lt;&gt;"", H185:L185, "")))</f>
        <v>#NAME?</v>
      </c>
    </row>
    <row r="186" spans="1:13" ht="15.75" customHeight="1" x14ac:dyDescent="0.25">
      <c r="A186" s="2" t="s">
        <v>23</v>
      </c>
      <c r="B186" s="2" t="s">
        <v>560</v>
      </c>
      <c r="C186" s="5" t="s">
        <v>15</v>
      </c>
      <c r="D186" s="3">
        <v>135</v>
      </c>
      <c r="E186" s="2" t="s">
        <v>42</v>
      </c>
      <c r="F186" s="4" t="str">
        <f t="array" ref="F186">INDEX(Tasks!$B:$B, MATCH(C186, Tasks!$A:$A, 0))</f>
        <v>Empty trash Including stall bags.</v>
      </c>
      <c r="G186" s="4" t="e">
        <f t="array" aca="1" ref="G186" ca="1">_xludf.LET(
  _xlpm.task,$C186,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86" s="4" t="str">
        <f>IFERROR(IF(FIND("1",$D186),H$1,""),"")</f>
        <v>Mon</v>
      </c>
      <c r="I186" s="4" t="str">
        <f>IFERROR(IF(FIND("2",$D186),I$1,""),"")</f>
        <v/>
      </c>
      <c r="J186" s="4" t="str">
        <f>IFERROR(IF(FIND("3",$D186),J$1,""),"")</f>
        <v>Wed</v>
      </c>
      <c r="K186" s="4" t="str">
        <f>IFERROR(IF(FIND("4",$D186),K$1,""),"")</f>
        <v/>
      </c>
      <c r="L186" s="4" t="str">
        <f>IFERROR(IF(FIND("5",$D186),L$1,""),"")</f>
        <v>Fri</v>
      </c>
      <c r="M186" s="4" t="e">
        <f t="array" aca="1" ref="M186" ca="1">_xludf.CONCAT("every ",_xludf.TEXTJOIN(", ", TRUE, IF(H186:L186&lt;&gt;"", H186:L186, "")))</f>
        <v>#NAME?</v>
      </c>
    </row>
    <row r="187" spans="1:13" ht="15.75" customHeight="1" x14ac:dyDescent="0.25">
      <c r="A187" s="2" t="s">
        <v>23</v>
      </c>
      <c r="B187" s="2" t="s">
        <v>560</v>
      </c>
      <c r="C187" s="2" t="s">
        <v>29</v>
      </c>
      <c r="D187" s="3">
        <v>5</v>
      </c>
      <c r="E187" s="2" t="s">
        <v>42</v>
      </c>
      <c r="F187" s="4" t="str">
        <f t="array" ref="F187">INDEX(Tasks!$B:$B, MATCH(C187, Tasks!$A:$A, 0))</f>
        <v>Mix 6oz floor cleaner and 3gal hot water in mop bucket.</v>
      </c>
      <c r="G187" s="4" t="e">
        <f t="array" aca="1" ref="G187" ca="1">_xludf.LET(
  _xlpm.task,$C187,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87" s="4" t="str">
        <f>IFERROR(IF(FIND("1",$D187),H$1,""),"")</f>
        <v/>
      </c>
      <c r="I187" s="4" t="str">
        <f>IFERROR(IF(FIND("2",$D187),I$1,""),"")</f>
        <v/>
      </c>
      <c r="J187" s="4" t="str">
        <f>IFERROR(IF(FIND("3",$D187),J$1,""),"")</f>
        <v/>
      </c>
      <c r="K187" s="4" t="str">
        <f>IFERROR(IF(FIND("4",$D187),K$1,""),"")</f>
        <v/>
      </c>
      <c r="L187" s="4" t="str">
        <f>IFERROR(IF(FIND("5",$D187),L$1,""),"")</f>
        <v>Fri</v>
      </c>
      <c r="M187" s="4" t="e">
        <f t="array" aca="1" ref="M187" ca="1">_xludf.CONCAT("every ",_xludf.TEXTJOIN(", ", TRUE, IF(H187:L187&lt;&gt;"", H187:L187, "")))</f>
        <v>#NAME?</v>
      </c>
    </row>
    <row r="188" spans="1:13" ht="15.75" customHeight="1" x14ac:dyDescent="0.25">
      <c r="A188" s="2" t="s">
        <v>23</v>
      </c>
      <c r="B188" s="2" t="s">
        <v>560</v>
      </c>
      <c r="C188" s="5" t="s">
        <v>43</v>
      </c>
      <c r="D188" s="3">
        <v>5</v>
      </c>
      <c r="E188" s="2" t="s">
        <v>42</v>
      </c>
      <c r="F188" s="4" t="str">
        <f t="array" ref="F188">INDEX(Tasks!$B:$B, MATCH(C188, Tasks!$A:$A, 0))</f>
        <v>Use Barkeepers Friend in bowl, Scrub with sink brush. Finish with 2in1 and Paper Towels.</v>
      </c>
      <c r="G188" s="4" t="e">
        <f t="array" aca="1" ref="G188" ca="1">_xludf.LET(
  _xlpm.task,$C188,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88" s="4" t="str">
        <f>IFERROR(IF(FIND("1",$D188),H$1,""),"")</f>
        <v/>
      </c>
      <c r="I188" s="4" t="str">
        <f>IFERROR(IF(FIND("2",$D188),I$1,""),"")</f>
        <v/>
      </c>
      <c r="J188" s="4" t="str">
        <f>IFERROR(IF(FIND("3",$D188),J$1,""),"")</f>
        <v/>
      </c>
      <c r="K188" s="4" t="str">
        <f>IFERROR(IF(FIND("4",$D188),K$1,""),"")</f>
        <v/>
      </c>
      <c r="L188" s="4" t="str">
        <f>IFERROR(IF(FIND("5",$D188),L$1,""),"")</f>
        <v>Fri</v>
      </c>
      <c r="M188" s="4" t="e">
        <f t="array" aca="1" ref="M188" ca="1">_xludf.CONCAT("every ",_xludf.TEXTJOIN(", ", TRUE, IF(H188:L188&lt;&gt;"", H188:L188, "")))</f>
        <v>#NAME?</v>
      </c>
    </row>
    <row r="189" spans="1:13" ht="15.75" customHeight="1" x14ac:dyDescent="0.25">
      <c r="A189" s="2" t="s">
        <v>23</v>
      </c>
      <c r="B189" s="2" t="s">
        <v>560</v>
      </c>
      <c r="C189" s="5" t="s">
        <v>53</v>
      </c>
      <c r="D189" s="3">
        <v>5</v>
      </c>
      <c r="E189" s="2" t="s">
        <v>42</v>
      </c>
      <c r="F189" s="4" t="str">
        <f t="array" ref="F189">INDEX(Tasks!$B:$B, MATCH(C189, Tasks!$A:$A, 0))</f>
        <v>Scrub Toilet Bowls with Toilet Bowl Cleaner and Toilet Brush. Spray entire Toilet with 2in1 and wipe with Paper Towels.</v>
      </c>
      <c r="G189" s="4" t="e">
        <f t="array" aca="1" ref="G189" ca="1">_xludf.LET(
  _xlpm.task,$C189,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89" s="4" t="str">
        <f>IFERROR(IF(FIND("1",$D189),H$1,""),"")</f>
        <v/>
      </c>
      <c r="I189" s="4" t="str">
        <f>IFERROR(IF(FIND("2",$D189),I$1,""),"")</f>
        <v/>
      </c>
      <c r="J189" s="4" t="str">
        <f>IFERROR(IF(FIND("3",$D189),J$1,""),"")</f>
        <v/>
      </c>
      <c r="K189" s="4" t="str">
        <f>IFERROR(IF(FIND("4",$D189),K$1,""),"")</f>
        <v/>
      </c>
      <c r="L189" s="4" t="str">
        <f>IFERROR(IF(FIND("5",$D189),L$1,""),"")</f>
        <v>Fri</v>
      </c>
      <c r="M189" s="4" t="e">
        <f t="array" aca="1" ref="M189" ca="1">_xludf.CONCAT("every ",_xludf.TEXTJOIN(", ", TRUE, IF(H189:L189&lt;&gt;"", H189:L189, "")))</f>
        <v>#NAME?</v>
      </c>
    </row>
    <row r="190" spans="1:13" ht="15.75" customHeight="1" x14ac:dyDescent="0.25">
      <c r="A190" s="2" t="s">
        <v>23</v>
      </c>
      <c r="B190" s="2" t="s">
        <v>560</v>
      </c>
      <c r="C190" s="5" t="s">
        <v>54</v>
      </c>
      <c r="D190" s="3">
        <v>5</v>
      </c>
      <c r="E190" s="2" t="s">
        <v>42</v>
      </c>
      <c r="F190" s="4" t="str">
        <f t="array" ref="F190">INDEX(Tasks!$B:$B, MATCH(C190, Tasks!$A:$A, 0))</f>
        <v>Scrub toilet bowls and urinals with brush and disinfect under seats.</v>
      </c>
      <c r="G190" s="4" t="e">
        <f t="array" aca="1" ref="G190" ca="1">_xludf.LET(
  _xlpm.task,$C190,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90" s="4" t="str">
        <f>IFERROR(IF(FIND("1",$D190),H$1,""),"")</f>
        <v/>
      </c>
      <c r="I190" s="4" t="str">
        <f>IFERROR(IF(FIND("2",$D190),I$1,""),"")</f>
        <v/>
      </c>
      <c r="J190" s="4" t="str">
        <f>IFERROR(IF(FIND("3",$D190),J$1,""),"")</f>
        <v/>
      </c>
      <c r="K190" s="4" t="str">
        <f>IFERROR(IF(FIND("4",$D190),K$1,""),"")</f>
        <v/>
      </c>
      <c r="L190" s="4" t="str">
        <f>IFERROR(IF(FIND("5",$D190),L$1,""),"")</f>
        <v>Fri</v>
      </c>
      <c r="M190" s="4" t="e">
        <f t="array" aca="1" ref="M190" ca="1">_xludf.CONCAT("every ",_xludf.TEXTJOIN(", ", TRUE, IF(H190:L190&lt;&gt;"", H190:L190, "")))</f>
        <v>#NAME?</v>
      </c>
    </row>
    <row r="191" spans="1:13" ht="15.75" customHeight="1" x14ac:dyDescent="0.25">
      <c r="A191" s="2" t="s">
        <v>23</v>
      </c>
      <c r="B191" s="2" t="s">
        <v>560</v>
      </c>
      <c r="C191" s="5" t="s">
        <v>55</v>
      </c>
      <c r="D191" s="3">
        <v>5</v>
      </c>
      <c r="E191" s="2" t="s">
        <v>42</v>
      </c>
      <c r="F191" s="4" t="str">
        <f t="array" ref="F191">INDEX(Tasks!$B:$B, MATCH(C191, Tasks!$A:$A, 0))</f>
        <v>Clean visibly dirty spots.</v>
      </c>
      <c r="G191" s="4" t="e">
        <f t="array" aca="1" ref="G191" ca="1">_xludf.LET(
  _xlpm.task,$C191,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91" s="4" t="str">
        <f>IFERROR(IF(FIND("1",$D191),H$1,""),"")</f>
        <v/>
      </c>
      <c r="I191" s="4" t="str">
        <f>IFERROR(IF(FIND("2",$D191),I$1,""),"")</f>
        <v/>
      </c>
      <c r="J191" s="4" t="str">
        <f>IFERROR(IF(FIND("3",$D191),J$1,""),"")</f>
        <v/>
      </c>
      <c r="K191" s="4" t="str">
        <f>IFERROR(IF(FIND("4",$D191),K$1,""),"")</f>
        <v/>
      </c>
      <c r="L191" s="4" t="str">
        <f>IFERROR(IF(FIND("5",$D191),L$1,""),"")</f>
        <v>Fri</v>
      </c>
      <c r="M191" s="4" t="e">
        <f t="array" aca="1" ref="M191" ca="1">_xludf.CONCAT("every ",_xludf.TEXTJOIN(", ", TRUE, IF(H191:L191&lt;&gt;"", H191:L191, "")))</f>
        <v>#NAME?</v>
      </c>
    </row>
    <row r="192" spans="1:13" ht="15.75" customHeight="1" x14ac:dyDescent="0.25">
      <c r="A192" s="2" t="s">
        <v>23</v>
      </c>
      <c r="B192" s="2" t="s">
        <v>560</v>
      </c>
      <c r="C192" s="5" t="s">
        <v>16</v>
      </c>
      <c r="D192" s="3">
        <v>135</v>
      </c>
      <c r="E192" s="2" t="s">
        <v>42</v>
      </c>
      <c r="F192" s="4" t="str">
        <f t="array" ref="F192">INDEX(Tasks!$B:$B, MATCH(C192, Tasks!$A:$A, 0))</f>
        <v>Refill Paper Towels, hand soap, Toilet Paper.</v>
      </c>
      <c r="G192" s="4" t="e">
        <f t="array" aca="1" ref="G192" ca="1">_xludf.LET(
  _xlpm.task,$C192,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92" s="4" t="str">
        <f>IFERROR(IF(FIND("1",$D192),H$1,""),"")</f>
        <v>Mon</v>
      </c>
      <c r="I192" s="4" t="str">
        <f>IFERROR(IF(FIND("2",$D192),I$1,""),"")</f>
        <v/>
      </c>
      <c r="J192" s="4" t="str">
        <f>IFERROR(IF(FIND("3",$D192),J$1,""),"")</f>
        <v>Wed</v>
      </c>
      <c r="K192" s="4" t="str">
        <f>IFERROR(IF(FIND("4",$D192),K$1,""),"")</f>
        <v/>
      </c>
      <c r="L192" s="4" t="str">
        <f>IFERROR(IF(FIND("5",$D192),L$1,""),"")</f>
        <v>Fri</v>
      </c>
      <c r="M192" s="4" t="e">
        <f t="array" aca="1" ref="M192" ca="1">_xludf.CONCAT("every ",_xludf.TEXTJOIN(", ", TRUE, IF(H192:L192&lt;&gt;"", H192:L192, "")))</f>
        <v>#NAME?</v>
      </c>
    </row>
    <row r="193" spans="1:13" ht="15.75" customHeight="1" x14ac:dyDescent="0.25">
      <c r="A193" s="2" t="s">
        <v>23</v>
      </c>
      <c r="B193" s="2" t="s">
        <v>560</v>
      </c>
      <c r="C193" s="2" t="s">
        <v>17</v>
      </c>
      <c r="D193" s="3">
        <v>135</v>
      </c>
      <c r="E193" s="2" t="s">
        <v>42</v>
      </c>
      <c r="F193" s="4" t="str">
        <f t="array" ref="F193">INDEX(Tasks!$B:$B, MATCH(C193, Tasks!$A:$A, 0))</f>
        <v>Sweep Floors with broom.</v>
      </c>
      <c r="G193" s="4" t="e">
        <f t="array" aca="1" ref="G193" ca="1">_xludf.LET(
  _xlpm.task,$C193,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93" s="4" t="str">
        <f>IFERROR(IF(FIND("1",$D193),H$1,""),"")</f>
        <v>Mon</v>
      </c>
      <c r="I193" s="4" t="str">
        <f>IFERROR(IF(FIND("2",$D193),I$1,""),"")</f>
        <v/>
      </c>
      <c r="J193" s="4" t="str">
        <f>IFERROR(IF(FIND("3",$D193),J$1,""),"")</f>
        <v>Wed</v>
      </c>
      <c r="K193" s="4" t="str">
        <f>IFERROR(IF(FIND("4",$D193),K$1,""),"")</f>
        <v/>
      </c>
      <c r="L193" s="4" t="str">
        <f>IFERROR(IF(FIND("5",$D193),L$1,""),"")</f>
        <v>Fri</v>
      </c>
      <c r="M193" s="4" t="e">
        <f t="array" aca="1" ref="M193" ca="1">_xludf.CONCAT("every ",_xludf.TEXTJOIN(", ", TRUE, IF(H193:L193&lt;&gt;"", H193:L193, "")))</f>
        <v>#NAME?</v>
      </c>
    </row>
    <row r="194" spans="1:13" ht="15.75" customHeight="1" x14ac:dyDescent="0.25">
      <c r="A194" s="2" t="s">
        <v>23</v>
      </c>
      <c r="B194" s="2" t="s">
        <v>560</v>
      </c>
      <c r="C194" s="5" t="s">
        <v>45</v>
      </c>
      <c r="D194" s="3">
        <v>135</v>
      </c>
      <c r="E194" s="2" t="s">
        <v>42</v>
      </c>
      <c r="F194" s="4" t="str">
        <f t="array" ref="F194">INDEX(Tasks!$B:$B, MATCH(C194, Tasks!$A:$A, 0))</f>
        <v>Spray with 2in1, wipe with Paper Towel.</v>
      </c>
      <c r="G194" s="4" t="e">
        <f t="array" aca="1" ref="G194" ca="1">_xludf.LET(
  _xlpm.task,$C194,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94" s="4" t="str">
        <f>IFERROR(IF(FIND("1",$D194),H$1,""),"")</f>
        <v>Mon</v>
      </c>
      <c r="I194" s="4" t="str">
        <f>IFERROR(IF(FIND("2",$D194),I$1,""),"")</f>
        <v/>
      </c>
      <c r="J194" s="4" t="str">
        <f>IFERROR(IF(FIND("3",$D194),J$1,""),"")</f>
        <v>Wed</v>
      </c>
      <c r="K194" s="4" t="str">
        <f>IFERROR(IF(FIND("4",$D194),K$1,""),"")</f>
        <v/>
      </c>
      <c r="L194" s="4" t="str">
        <f>IFERROR(IF(FIND("5",$D194),L$1,""),"")</f>
        <v>Fri</v>
      </c>
      <c r="M194" s="4" t="e">
        <f t="array" aca="1" ref="M194" ca="1">_xludf.CONCAT("every ",_xludf.TEXTJOIN(", ", TRUE, IF(H194:L194&lt;&gt;"", H194:L194, "")))</f>
        <v>#NAME?</v>
      </c>
    </row>
    <row r="195" spans="1:13" ht="15.75" customHeight="1" x14ac:dyDescent="0.25">
      <c r="A195" s="2" t="s">
        <v>23</v>
      </c>
      <c r="B195" s="2" t="s">
        <v>560</v>
      </c>
      <c r="C195" s="5" t="s">
        <v>18</v>
      </c>
      <c r="D195" s="3">
        <v>135</v>
      </c>
      <c r="E195" s="2" t="s">
        <v>42</v>
      </c>
      <c r="F195" s="4" t="str">
        <f t="array" ref="F195">INDEX(Tasks!$B:$B, MATCH(C195, Tasks!$A:$A, 0))</f>
        <v>Spray with 2in1, wipe with Paper Towel.</v>
      </c>
      <c r="G195" s="4" t="e">
        <f t="array" aca="1" ref="G195" ca="1">_xludf.LET(
  _xlpm.task,$C195,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95" s="4" t="str">
        <f>IFERROR(IF(FIND("1",$D195),H$1,""),"")</f>
        <v>Mon</v>
      </c>
      <c r="I195" s="4" t="str">
        <f>IFERROR(IF(FIND("2",$D195),I$1,""),"")</f>
        <v/>
      </c>
      <c r="J195" s="4" t="str">
        <f>IFERROR(IF(FIND("3",$D195),J$1,""),"")</f>
        <v>Wed</v>
      </c>
      <c r="K195" s="4" t="str">
        <f>IFERROR(IF(FIND("4",$D195),K$1,""),"")</f>
        <v/>
      </c>
      <c r="L195" s="4" t="str">
        <f>IFERROR(IF(FIND("5",$D195),L$1,""),"")</f>
        <v>Fri</v>
      </c>
      <c r="M195" s="4" t="e">
        <f t="array" aca="1" ref="M195" ca="1">_xludf.CONCAT("every ",_xludf.TEXTJOIN(", ", TRUE, IF(H195:L195&lt;&gt;"", H195:L195, "")))</f>
        <v>#NAME?</v>
      </c>
    </row>
    <row r="196" spans="1:13" ht="15.75" customHeight="1" x14ac:dyDescent="0.25">
      <c r="A196" s="2" t="s">
        <v>23</v>
      </c>
      <c r="B196" s="2" t="s">
        <v>560</v>
      </c>
      <c r="C196" s="5" t="s">
        <v>19</v>
      </c>
      <c r="D196" s="3">
        <v>135</v>
      </c>
      <c r="E196" s="2" t="s">
        <v>42</v>
      </c>
      <c r="F196" s="4" t="str">
        <f t="array" ref="F196">INDEX(Tasks!$B:$B, MATCH(C196, Tasks!$A:$A, 0))</f>
        <v>Spray Seat, Rim, and Handle with 2in1, wipe with Paper Towel.</v>
      </c>
      <c r="G196" s="4" t="e">
        <f t="array" aca="1" ref="G196" ca="1">_xludf.LET(
  _xlpm.task,$C196,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96" s="4" t="str">
        <f>IFERROR(IF(FIND("1",$D196),H$1,""),"")</f>
        <v>Mon</v>
      </c>
      <c r="I196" s="4" t="str">
        <f>IFERROR(IF(FIND("2",$D196),I$1,""),"")</f>
        <v/>
      </c>
      <c r="J196" s="4" t="str">
        <f>IFERROR(IF(FIND("3",$D196),J$1,""),"")</f>
        <v>Wed</v>
      </c>
      <c r="K196" s="4" t="str">
        <f>IFERROR(IF(FIND("4",$D196),K$1,""),"")</f>
        <v/>
      </c>
      <c r="L196" s="4" t="str">
        <f>IFERROR(IF(FIND("5",$D196),L$1,""),"")</f>
        <v>Fri</v>
      </c>
      <c r="M196" s="4" t="e">
        <f t="array" aca="1" ref="M196" ca="1">_xludf.CONCAT("every ",_xludf.TEXTJOIN(", ", TRUE, IF(H196:L196&lt;&gt;"", H196:L196, "")))</f>
        <v>#NAME?</v>
      </c>
    </row>
    <row r="197" spans="1:13" ht="15.75" customHeight="1" x14ac:dyDescent="0.25">
      <c r="A197" s="2" t="s">
        <v>23</v>
      </c>
      <c r="B197" s="2" t="s">
        <v>560</v>
      </c>
      <c r="C197" s="5" t="s">
        <v>20</v>
      </c>
      <c r="D197" s="3">
        <v>135</v>
      </c>
      <c r="E197" s="2" t="s">
        <v>42</v>
      </c>
      <c r="F197" s="4" t="str">
        <f t="array" ref="F197">INDEX(Tasks!$B:$B, MATCH(C197, Tasks!$A:$A, 0))</f>
        <v>Spray Rim and Handle with 2in1, wipe with Paper Towel.</v>
      </c>
      <c r="G197" s="4" t="e">
        <f t="array" aca="1" ref="G197" ca="1">_xludf.LET(
  _xlpm.task,$C197,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97" s="4" t="str">
        <f>IFERROR(IF(FIND("1",$D197),H$1,""),"")</f>
        <v>Mon</v>
      </c>
      <c r="I197" s="4" t="str">
        <f>IFERROR(IF(FIND("2",$D197),I$1,""),"")</f>
        <v/>
      </c>
      <c r="J197" s="4" t="str">
        <f>IFERROR(IF(FIND("3",$D197),J$1,""),"")</f>
        <v>Wed</v>
      </c>
      <c r="K197" s="4" t="str">
        <f>IFERROR(IF(FIND("4",$D197),K$1,""),"")</f>
        <v/>
      </c>
      <c r="L197" s="4" t="str">
        <f>IFERROR(IF(FIND("5",$D197),L$1,""),"")</f>
        <v>Fri</v>
      </c>
      <c r="M197" s="4" t="e">
        <f t="array" aca="1" ref="M197" ca="1">_xludf.CONCAT("every ",_xludf.TEXTJOIN(", ", TRUE, IF(H197:L197&lt;&gt;"", H197:L197, "")))</f>
        <v>#NAME?</v>
      </c>
    </row>
    <row r="198" spans="1:13" ht="15.75" customHeight="1" x14ac:dyDescent="0.25">
      <c r="A198" s="2" t="s">
        <v>12</v>
      </c>
      <c r="B198" s="2" t="s">
        <v>561</v>
      </c>
      <c r="C198" s="5" t="s">
        <v>15</v>
      </c>
      <c r="D198" s="3">
        <v>12345</v>
      </c>
      <c r="E198" s="2" t="s">
        <v>14</v>
      </c>
      <c r="F198" s="4" t="str">
        <f t="array" ref="F198">INDEX(Tasks!$B:$B, MATCH(C198, Tasks!$A:$A, 0))</f>
        <v>Empty trash Including stall bags.</v>
      </c>
      <c r="G198" s="4" t="e">
        <f t="array" aca="1" ref="G198" ca="1">_xludf.LET(
  _xlpm.task,$C198,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98" s="4" t="str">
        <f>IFERROR(IF(FIND("1",$D198),H$1,""),"")</f>
        <v>Mon</v>
      </c>
      <c r="I198" s="4" t="str">
        <f>IFERROR(IF(FIND("2",$D198),I$1,""),"")</f>
        <v>Tue</v>
      </c>
      <c r="J198" s="4" t="str">
        <f>IFERROR(IF(FIND("3",$D198),J$1,""),"")</f>
        <v>Wed</v>
      </c>
      <c r="K198" s="4" t="str">
        <f>IFERROR(IF(FIND("4",$D198),K$1,""),"")</f>
        <v>Thu</v>
      </c>
      <c r="L198" s="4" t="str">
        <f>IFERROR(IF(FIND("5",$D198),L$1,""),"")</f>
        <v>Fri</v>
      </c>
      <c r="M198" s="4" t="e">
        <f t="array" aca="1" ref="M198" ca="1">_xludf.CONCAT("every ",_xludf.TEXTJOIN(", ", TRUE, IF(H198:L198&lt;&gt;"", H198:L198, "")))</f>
        <v>#NAME?</v>
      </c>
    </row>
    <row r="199" spans="1:13" ht="15.75" customHeight="1" x14ac:dyDescent="0.25">
      <c r="A199" s="2" t="s">
        <v>12</v>
      </c>
      <c r="B199" s="2" t="s">
        <v>561</v>
      </c>
      <c r="C199" s="2" t="s">
        <v>29</v>
      </c>
      <c r="D199" s="3">
        <v>5</v>
      </c>
      <c r="E199" s="2" t="s">
        <v>42</v>
      </c>
      <c r="F199" s="4" t="str">
        <f t="array" ref="F199">INDEX(Tasks!$B:$B, MATCH(C199, Tasks!$A:$A, 0))</f>
        <v>Mix 6oz floor cleaner and 3gal hot water in mop bucket.</v>
      </c>
      <c r="G199" s="4" t="e">
        <f t="array" aca="1" ref="G199" ca="1">_xludf.LET(
  _xlpm.task,$C199,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199" s="4" t="str">
        <f>IFERROR(IF(FIND("1",$D199),H$1,""),"")</f>
        <v/>
      </c>
      <c r="I199" s="4" t="str">
        <f>IFERROR(IF(FIND("2",$D199),I$1,""),"")</f>
        <v/>
      </c>
      <c r="J199" s="4" t="str">
        <f>IFERROR(IF(FIND("3",$D199),J$1,""),"")</f>
        <v/>
      </c>
      <c r="K199" s="4" t="str">
        <f>IFERROR(IF(FIND("4",$D199),K$1,""),"")</f>
        <v/>
      </c>
      <c r="L199" s="4" t="str">
        <f>IFERROR(IF(FIND("5",$D199),L$1,""),"")</f>
        <v>Fri</v>
      </c>
      <c r="M199" s="4" t="e">
        <f t="array" aca="1" ref="M199" ca="1">_xludf.CONCAT("every ",_xludf.TEXTJOIN(", ", TRUE, IF(H199:L199&lt;&gt;"", H199:L199, "")))</f>
        <v>#NAME?</v>
      </c>
    </row>
    <row r="200" spans="1:13" ht="15.75" customHeight="1" x14ac:dyDescent="0.25">
      <c r="A200" s="2" t="s">
        <v>12</v>
      </c>
      <c r="B200" s="2" t="s">
        <v>561</v>
      </c>
      <c r="C200" s="5" t="s">
        <v>53</v>
      </c>
      <c r="D200" s="3">
        <v>5</v>
      </c>
      <c r="E200" s="2" t="s">
        <v>42</v>
      </c>
      <c r="F200" s="4" t="str">
        <f t="array" ref="F200">INDEX(Tasks!$B:$B, MATCH(C200, Tasks!$A:$A, 0))</f>
        <v>Scrub Toilet Bowls with Toilet Bowl Cleaner and Toilet Brush. Spray entire Toilet with 2in1 and wipe with Paper Towels.</v>
      </c>
      <c r="G200" s="4" t="e">
        <f t="array" aca="1" ref="G200" ca="1">_xludf.LET(
  _xlpm.task,$C200,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00" s="4" t="str">
        <f>IFERROR(IF(FIND("1",$D200),H$1,""),"")</f>
        <v/>
      </c>
      <c r="I200" s="4" t="str">
        <f>IFERROR(IF(FIND("2",$D200),I$1,""),"")</f>
        <v/>
      </c>
      <c r="J200" s="4" t="str">
        <f>IFERROR(IF(FIND("3",$D200),J$1,""),"")</f>
        <v/>
      </c>
      <c r="K200" s="4" t="str">
        <f>IFERROR(IF(FIND("4",$D200),K$1,""),"")</f>
        <v/>
      </c>
      <c r="L200" s="4" t="str">
        <f>IFERROR(IF(FIND("5",$D200),L$1,""),"")</f>
        <v>Fri</v>
      </c>
      <c r="M200" s="4" t="e">
        <f t="array" aca="1" ref="M200" ca="1">_xludf.CONCAT("every ",_xludf.TEXTJOIN(", ", TRUE, IF(H200:L200&lt;&gt;"", H200:L200, "")))</f>
        <v>#NAME?</v>
      </c>
    </row>
    <row r="201" spans="1:13" ht="15.75" customHeight="1" x14ac:dyDescent="0.25">
      <c r="A201" s="2" t="s">
        <v>12</v>
      </c>
      <c r="B201" s="2" t="s">
        <v>561</v>
      </c>
      <c r="C201" s="5" t="s">
        <v>54</v>
      </c>
      <c r="D201" s="3">
        <v>5</v>
      </c>
      <c r="E201" s="2" t="s">
        <v>42</v>
      </c>
      <c r="F201" s="4" t="str">
        <f t="array" ref="F201">INDEX(Tasks!$B:$B, MATCH(C201, Tasks!$A:$A, 0))</f>
        <v>Scrub toilet bowls and urinals with brush and disinfect under seats.</v>
      </c>
      <c r="G201" s="4" t="e">
        <f t="array" aca="1" ref="G201" ca="1">_xludf.LET(
  _xlpm.task,$C201,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01" s="4" t="str">
        <f>IFERROR(IF(FIND("1",$D201),H$1,""),"")</f>
        <v/>
      </c>
      <c r="I201" s="4" t="str">
        <f>IFERROR(IF(FIND("2",$D201),I$1,""),"")</f>
        <v/>
      </c>
      <c r="J201" s="4" t="str">
        <f>IFERROR(IF(FIND("3",$D201),J$1,""),"")</f>
        <v/>
      </c>
      <c r="K201" s="4" t="str">
        <f>IFERROR(IF(FIND("4",$D201),K$1,""),"")</f>
        <v/>
      </c>
      <c r="L201" s="4" t="str">
        <f>IFERROR(IF(FIND("5",$D201),L$1,""),"")</f>
        <v>Fri</v>
      </c>
      <c r="M201" s="4" t="e">
        <f t="array" aca="1" ref="M201" ca="1">_xludf.CONCAT("every ",_xludf.TEXTJOIN(", ", TRUE, IF(H201:L201&lt;&gt;"", H201:L201, "")))</f>
        <v>#NAME?</v>
      </c>
    </row>
    <row r="202" spans="1:13" ht="15.75" customHeight="1" x14ac:dyDescent="0.25">
      <c r="A202" s="2" t="s">
        <v>12</v>
      </c>
      <c r="B202" s="2" t="s">
        <v>561</v>
      </c>
      <c r="C202" s="5" t="s">
        <v>55</v>
      </c>
      <c r="D202" s="3">
        <v>5</v>
      </c>
      <c r="E202" s="2" t="s">
        <v>42</v>
      </c>
      <c r="F202" s="4" t="str">
        <f t="array" ref="F202">INDEX(Tasks!$B:$B, MATCH(C202, Tasks!$A:$A, 0))</f>
        <v>Clean visibly dirty spots.</v>
      </c>
      <c r="G202" s="4" t="e">
        <f t="array" aca="1" ref="G202" ca="1">_xludf.LET(
  _xlpm.task,$C202,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02" s="4" t="str">
        <f>IFERROR(IF(FIND("1",$D202),H$1,""),"")</f>
        <v/>
      </c>
      <c r="I202" s="4" t="str">
        <f>IFERROR(IF(FIND("2",$D202),I$1,""),"")</f>
        <v/>
      </c>
      <c r="J202" s="4" t="str">
        <f>IFERROR(IF(FIND("3",$D202),J$1,""),"")</f>
        <v/>
      </c>
      <c r="K202" s="4" t="str">
        <f>IFERROR(IF(FIND("4",$D202),K$1,""),"")</f>
        <v/>
      </c>
      <c r="L202" s="4" t="str">
        <f>IFERROR(IF(FIND("5",$D202),L$1,""),"")</f>
        <v>Fri</v>
      </c>
      <c r="M202" s="4" t="e">
        <f t="array" aca="1" ref="M202" ca="1">_xludf.CONCAT("every ",_xludf.TEXTJOIN(", ", TRUE, IF(H202:L202&lt;&gt;"", H202:L202, "")))</f>
        <v>#NAME?</v>
      </c>
    </row>
    <row r="203" spans="1:13" ht="15.75" customHeight="1" x14ac:dyDescent="0.25">
      <c r="A203" s="2" t="s">
        <v>12</v>
      </c>
      <c r="B203" s="2" t="s">
        <v>561</v>
      </c>
      <c r="C203" s="5" t="s">
        <v>16</v>
      </c>
      <c r="D203" s="3">
        <v>12345</v>
      </c>
      <c r="E203" s="2" t="s">
        <v>14</v>
      </c>
      <c r="F203" s="4" t="str">
        <f t="array" ref="F203">INDEX(Tasks!$B:$B, MATCH(C203, Tasks!$A:$A, 0))</f>
        <v>Refill Paper Towels, hand soap, Toilet Paper.</v>
      </c>
      <c r="G203" s="4" t="e">
        <f t="array" aca="1" ref="G203" ca="1">_xludf.LET(
  _xlpm.task,$C203,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03" s="4" t="str">
        <f>IFERROR(IF(FIND("1",$D203),H$1,""),"")</f>
        <v>Mon</v>
      </c>
      <c r="I203" s="4" t="str">
        <f>IFERROR(IF(FIND("2",$D203),I$1,""),"")</f>
        <v>Tue</v>
      </c>
      <c r="J203" s="4" t="str">
        <f>IFERROR(IF(FIND("3",$D203),J$1,""),"")</f>
        <v>Wed</v>
      </c>
      <c r="K203" s="4" t="str">
        <f>IFERROR(IF(FIND("4",$D203),K$1,""),"")</f>
        <v>Thu</v>
      </c>
      <c r="L203" s="4" t="str">
        <f>IFERROR(IF(FIND("5",$D203),L$1,""),"")</f>
        <v>Fri</v>
      </c>
      <c r="M203" s="4" t="e">
        <f t="array" aca="1" ref="M203" ca="1">_xludf.CONCAT("every ",_xludf.TEXTJOIN(", ", TRUE, IF(H203:L203&lt;&gt;"", H203:L203, "")))</f>
        <v>#NAME?</v>
      </c>
    </row>
    <row r="204" spans="1:13" ht="15.75" customHeight="1" x14ac:dyDescent="0.25">
      <c r="A204" s="2" t="s">
        <v>12</v>
      </c>
      <c r="B204" s="2" t="s">
        <v>561</v>
      </c>
      <c r="C204" s="2" t="s">
        <v>17</v>
      </c>
      <c r="D204" s="3">
        <v>12345</v>
      </c>
      <c r="E204" s="2" t="s">
        <v>14</v>
      </c>
      <c r="F204" s="4" t="str">
        <f t="array" ref="F204">INDEX(Tasks!$B:$B, MATCH(C204, Tasks!$A:$A, 0))</f>
        <v>Sweep Floors with broom.</v>
      </c>
      <c r="G204" s="4" t="e">
        <f t="array" aca="1" ref="G204" ca="1">_xludf.LET(
  _xlpm.task,$C204,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04" s="4" t="str">
        <f>IFERROR(IF(FIND("1",$D204),H$1,""),"")</f>
        <v>Mon</v>
      </c>
      <c r="I204" s="4" t="str">
        <f>IFERROR(IF(FIND("2",$D204),I$1,""),"")</f>
        <v>Tue</v>
      </c>
      <c r="J204" s="4" t="str">
        <f>IFERROR(IF(FIND("3",$D204),J$1,""),"")</f>
        <v>Wed</v>
      </c>
      <c r="K204" s="4" t="str">
        <f>IFERROR(IF(FIND("4",$D204),K$1,""),"")</f>
        <v>Thu</v>
      </c>
      <c r="L204" s="4" t="str">
        <f>IFERROR(IF(FIND("5",$D204),L$1,""),"")</f>
        <v>Fri</v>
      </c>
      <c r="M204" s="4" t="e">
        <f t="array" aca="1" ref="M204" ca="1">_xludf.CONCAT("every ",_xludf.TEXTJOIN(", ", TRUE, IF(H204:L204&lt;&gt;"", H204:L204, "")))</f>
        <v>#NAME?</v>
      </c>
    </row>
    <row r="205" spans="1:13" ht="15.75" customHeight="1" x14ac:dyDescent="0.25">
      <c r="A205" s="2" t="s">
        <v>12</v>
      </c>
      <c r="B205" s="2" t="s">
        <v>561</v>
      </c>
      <c r="C205" s="5" t="s">
        <v>18</v>
      </c>
      <c r="D205" s="3">
        <v>12345</v>
      </c>
      <c r="E205" s="2" t="s">
        <v>14</v>
      </c>
      <c r="F205" s="4" t="str">
        <f t="array" ref="F205">INDEX(Tasks!$B:$B, MATCH(C205, Tasks!$A:$A, 0))</f>
        <v>Spray with 2in1, wipe with Paper Towel.</v>
      </c>
      <c r="G205" s="4" t="e">
        <f t="array" aca="1" ref="G205" ca="1">_xludf.LET(
  _xlpm.task,$C205,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05" s="4" t="str">
        <f>IFERROR(IF(FIND("1",$D205),H$1,""),"")</f>
        <v>Mon</v>
      </c>
      <c r="I205" s="4" t="str">
        <f>IFERROR(IF(FIND("2",$D205),I$1,""),"")</f>
        <v>Tue</v>
      </c>
      <c r="J205" s="4" t="str">
        <f>IFERROR(IF(FIND("3",$D205),J$1,""),"")</f>
        <v>Wed</v>
      </c>
      <c r="K205" s="4" t="str">
        <f>IFERROR(IF(FIND("4",$D205),K$1,""),"")</f>
        <v>Thu</v>
      </c>
      <c r="L205" s="4" t="str">
        <f>IFERROR(IF(FIND("5",$D205),L$1,""),"")</f>
        <v>Fri</v>
      </c>
      <c r="M205" s="4" t="e">
        <f t="array" aca="1" ref="M205" ca="1">_xludf.CONCAT("every ",_xludf.TEXTJOIN(", ", TRUE, IF(H205:L205&lt;&gt;"", H205:L205, "")))</f>
        <v>#NAME?</v>
      </c>
    </row>
    <row r="206" spans="1:13" ht="15.75" customHeight="1" x14ac:dyDescent="0.25">
      <c r="A206" s="2" t="s">
        <v>12</v>
      </c>
      <c r="B206" s="2" t="s">
        <v>561</v>
      </c>
      <c r="C206" s="5" t="s">
        <v>19</v>
      </c>
      <c r="D206" s="3">
        <v>12345</v>
      </c>
      <c r="E206" s="2" t="s">
        <v>14</v>
      </c>
      <c r="F206" s="4" t="str">
        <f t="array" ref="F206">INDEX(Tasks!$B:$B, MATCH(C206, Tasks!$A:$A, 0))</f>
        <v>Spray Seat, Rim, and Handle with 2in1, wipe with Paper Towel.</v>
      </c>
      <c r="G206" s="4" t="e">
        <f t="array" aca="1" ref="G206" ca="1">_xludf.LET(
  _xlpm.task,$C206,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06" s="4" t="str">
        <f>IFERROR(IF(FIND("1",$D206),H$1,""),"")</f>
        <v>Mon</v>
      </c>
      <c r="I206" s="4" t="str">
        <f>IFERROR(IF(FIND("2",$D206),I$1,""),"")</f>
        <v>Tue</v>
      </c>
      <c r="J206" s="4" t="str">
        <f>IFERROR(IF(FIND("3",$D206),J$1,""),"")</f>
        <v>Wed</v>
      </c>
      <c r="K206" s="4" t="str">
        <f>IFERROR(IF(FIND("4",$D206),K$1,""),"")</f>
        <v>Thu</v>
      </c>
      <c r="L206" s="4" t="str">
        <f>IFERROR(IF(FIND("5",$D206),L$1,""),"")</f>
        <v>Fri</v>
      </c>
      <c r="M206" s="4" t="e">
        <f t="array" aca="1" ref="M206" ca="1">_xludf.CONCAT("every ",_xludf.TEXTJOIN(", ", TRUE, IF(H206:L206&lt;&gt;"", H206:L206, "")))</f>
        <v>#NAME?</v>
      </c>
    </row>
    <row r="207" spans="1:13" ht="15.75" customHeight="1" x14ac:dyDescent="0.25">
      <c r="A207" s="2" t="s">
        <v>12</v>
      </c>
      <c r="B207" s="2" t="s">
        <v>561</v>
      </c>
      <c r="C207" s="5" t="s">
        <v>20</v>
      </c>
      <c r="D207" s="3">
        <v>12345</v>
      </c>
      <c r="E207" s="2" t="s">
        <v>14</v>
      </c>
      <c r="F207" s="4" t="str">
        <f t="array" ref="F207">INDEX(Tasks!$B:$B, MATCH(C207, Tasks!$A:$A, 0))</f>
        <v>Spray Rim and Handle with 2in1, wipe with Paper Towel.</v>
      </c>
      <c r="G207" s="4" t="e">
        <f t="array" aca="1" ref="G207" ca="1">_xludf.LET(
  _xlpm.task,$C207,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07" s="4" t="str">
        <f>IFERROR(IF(FIND("1",$D207),H$1,""),"")</f>
        <v>Mon</v>
      </c>
      <c r="I207" s="4" t="str">
        <f>IFERROR(IF(FIND("2",$D207),I$1,""),"")</f>
        <v>Tue</v>
      </c>
      <c r="J207" s="4" t="str">
        <f>IFERROR(IF(FIND("3",$D207),J$1,""),"")</f>
        <v>Wed</v>
      </c>
      <c r="K207" s="4" t="str">
        <f>IFERROR(IF(FIND("4",$D207),K$1,""),"")</f>
        <v>Thu</v>
      </c>
      <c r="L207" s="4" t="str">
        <f>IFERROR(IF(FIND("5",$D207),L$1,""),"")</f>
        <v>Fri</v>
      </c>
      <c r="M207" s="4" t="e">
        <f t="array" aca="1" ref="M207" ca="1">_xludf.CONCAT("every ",_xludf.TEXTJOIN(", ", TRUE, IF(H207:L207&lt;&gt;"", H207:L207, "")))</f>
        <v>#NAME?</v>
      </c>
    </row>
    <row r="208" spans="1:13" ht="15.75" customHeight="1" x14ac:dyDescent="0.25">
      <c r="A208" s="2" t="s">
        <v>23</v>
      </c>
      <c r="B208" s="2" t="s">
        <v>562</v>
      </c>
      <c r="C208" s="5" t="s">
        <v>36</v>
      </c>
      <c r="D208" s="3">
        <v>5</v>
      </c>
      <c r="E208" s="2" t="s">
        <v>42</v>
      </c>
      <c r="F208" s="4" t="str">
        <f t="array" ref="F208">INDEX(Tasks!$B:$B, MATCH(C208, Tasks!$A:$A, 0))</f>
        <v>Empty trash being careful of leaking bags.</v>
      </c>
      <c r="G208" s="4" t="e">
        <f t="array" aca="1" ref="G208" ca="1">_xludf.LET(
  _xlpm.task,$C208,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08" s="4" t="str">
        <f>IFERROR(IF(FIND("1",$D208),H$1,""),"")</f>
        <v/>
      </c>
      <c r="I208" s="4" t="str">
        <f>IFERROR(IF(FIND("2",$D208),I$1,""),"")</f>
        <v/>
      </c>
      <c r="J208" s="4" t="str">
        <f>IFERROR(IF(FIND("3",$D208),J$1,""),"")</f>
        <v/>
      </c>
      <c r="K208" s="4" t="str">
        <f>IFERROR(IF(FIND("4",$D208),K$1,""),"")</f>
        <v/>
      </c>
      <c r="L208" s="4" t="str">
        <f>IFERROR(IF(FIND("5",$D208),L$1,""),"")</f>
        <v>Fri</v>
      </c>
      <c r="M208" s="4" t="e">
        <f t="array" aca="1" ref="M208" ca="1">_xludf.CONCAT("every ",_xludf.TEXTJOIN(", ", TRUE, IF(H208:L208&lt;&gt;"", H208:L208, "")))</f>
        <v>#NAME?</v>
      </c>
    </row>
    <row r="209" spans="1:13" ht="15.75" customHeight="1" x14ac:dyDescent="0.25">
      <c r="A209" s="2" t="s">
        <v>23</v>
      </c>
      <c r="B209" s="2" t="s">
        <v>562</v>
      </c>
      <c r="C209" s="2" t="s">
        <v>29</v>
      </c>
      <c r="D209" s="3">
        <v>5</v>
      </c>
      <c r="E209" s="2" t="s">
        <v>42</v>
      </c>
      <c r="F209" s="4" t="str">
        <f t="array" ref="F209">INDEX(Tasks!$B:$B, MATCH(C209, Tasks!$A:$A, 0))</f>
        <v>Mix 6oz floor cleaner and 3gal hot water in mop bucket.</v>
      </c>
      <c r="G209" s="4" t="e">
        <f t="array" aca="1" ref="G209" ca="1">_xludf.LET(
  _xlpm.task,$C209,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09" s="4" t="str">
        <f>IFERROR(IF(FIND("1",$D209),H$1,""),"")</f>
        <v/>
      </c>
      <c r="I209" s="4" t="str">
        <f>IFERROR(IF(FIND("2",$D209),I$1,""),"")</f>
        <v/>
      </c>
      <c r="J209" s="4" t="str">
        <f>IFERROR(IF(FIND("3",$D209),J$1,""),"")</f>
        <v/>
      </c>
      <c r="K209" s="4" t="str">
        <f>IFERROR(IF(FIND("4",$D209),K$1,""),"")</f>
        <v/>
      </c>
      <c r="L209" s="4" t="str">
        <f>IFERROR(IF(FIND("5",$D209),L$1,""),"")</f>
        <v>Fri</v>
      </c>
      <c r="M209" s="4" t="e">
        <f t="array" aca="1" ref="M209" ca="1">_xludf.CONCAT("every ",_xludf.TEXTJOIN(", ", TRUE, IF(H209:L209&lt;&gt;"", H209:L209, "")))</f>
        <v>#NAME?</v>
      </c>
    </row>
    <row r="210" spans="1:13" ht="15.75" customHeight="1" x14ac:dyDescent="0.25">
      <c r="A210" s="2" t="s">
        <v>23</v>
      </c>
      <c r="B210" s="2" t="s">
        <v>562</v>
      </c>
      <c r="C210" s="5" t="s">
        <v>43</v>
      </c>
      <c r="D210" s="3">
        <v>5</v>
      </c>
      <c r="E210" s="2" t="s">
        <v>42</v>
      </c>
      <c r="F210" s="4" t="str">
        <f t="array" ref="F210">INDEX(Tasks!$B:$B, MATCH(C210, Tasks!$A:$A, 0))</f>
        <v>Use Barkeepers Friend in bowl, Scrub with sink brush. Finish with 2in1 and Paper Towels.</v>
      </c>
      <c r="G210" s="4" t="e">
        <f t="array" aca="1" ref="G210" ca="1">_xludf.LET(
  _xlpm.task,$C210,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10" s="4" t="str">
        <f>IFERROR(IF(FIND("1",$D210),H$1,""),"")</f>
        <v/>
      </c>
      <c r="I210" s="4" t="str">
        <f>IFERROR(IF(FIND("2",$D210),I$1,""),"")</f>
        <v/>
      </c>
      <c r="J210" s="4" t="str">
        <f>IFERROR(IF(FIND("3",$D210),J$1,""),"")</f>
        <v/>
      </c>
      <c r="K210" s="4" t="str">
        <f>IFERROR(IF(FIND("4",$D210),K$1,""),"")</f>
        <v/>
      </c>
      <c r="L210" s="4" t="str">
        <f>IFERROR(IF(FIND("5",$D210),L$1,""),"")</f>
        <v>Fri</v>
      </c>
      <c r="M210" s="4" t="e">
        <f t="array" aca="1" ref="M210" ca="1">_xludf.CONCAT("every ",_xludf.TEXTJOIN(", ", TRUE, IF(H210:L210&lt;&gt;"", H210:L210, "")))</f>
        <v>#NAME?</v>
      </c>
    </row>
    <row r="211" spans="1:13" ht="15.75" customHeight="1" x14ac:dyDescent="0.25">
      <c r="A211" s="2" t="s">
        <v>23</v>
      </c>
      <c r="B211" s="2" t="s">
        <v>562</v>
      </c>
      <c r="C211" s="5" t="s">
        <v>53</v>
      </c>
      <c r="D211" s="3">
        <v>5</v>
      </c>
      <c r="E211" s="2" t="s">
        <v>42</v>
      </c>
      <c r="F211" s="4" t="str">
        <f t="array" ref="F211">INDEX(Tasks!$B:$B, MATCH(C211, Tasks!$A:$A, 0))</f>
        <v>Scrub Toilet Bowls with Toilet Bowl Cleaner and Toilet Brush. Spray entire Toilet with 2in1 and wipe with Paper Towels.</v>
      </c>
      <c r="G211" s="4" t="e">
        <f t="array" aca="1" ref="G211" ca="1">_xludf.LET(
  _xlpm.task,$C211,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11" s="4" t="str">
        <f>IFERROR(IF(FIND("1",$D211),H$1,""),"")</f>
        <v/>
      </c>
      <c r="I211" s="4" t="str">
        <f>IFERROR(IF(FIND("2",$D211),I$1,""),"")</f>
        <v/>
      </c>
      <c r="J211" s="4" t="str">
        <f>IFERROR(IF(FIND("3",$D211),J$1,""),"")</f>
        <v/>
      </c>
      <c r="K211" s="4" t="str">
        <f>IFERROR(IF(FIND("4",$D211),K$1,""),"")</f>
        <v/>
      </c>
      <c r="L211" s="4" t="str">
        <f>IFERROR(IF(FIND("5",$D211),L$1,""),"")</f>
        <v>Fri</v>
      </c>
      <c r="M211" s="4" t="e">
        <f t="array" aca="1" ref="M211" ca="1">_xludf.CONCAT("every ",_xludf.TEXTJOIN(", ", TRUE, IF(H211:L211&lt;&gt;"", H211:L211, "")))</f>
        <v>#NAME?</v>
      </c>
    </row>
    <row r="212" spans="1:13" ht="15.75" customHeight="1" x14ac:dyDescent="0.25">
      <c r="A212" s="2" t="s">
        <v>23</v>
      </c>
      <c r="B212" s="2" t="s">
        <v>562</v>
      </c>
      <c r="C212" s="5" t="s">
        <v>55</v>
      </c>
      <c r="D212" s="3">
        <v>5</v>
      </c>
      <c r="E212" s="2" t="s">
        <v>42</v>
      </c>
      <c r="F212" s="4" t="str">
        <f t="array" ref="F212">INDEX(Tasks!$B:$B, MATCH(C212, Tasks!$A:$A, 0))</f>
        <v>Clean visibly dirty spots.</v>
      </c>
      <c r="G212" s="4" t="e">
        <f t="array" aca="1" ref="G212" ca="1">_xludf.LET(
  _xlpm.task,$C212,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12" s="4" t="str">
        <f>IFERROR(IF(FIND("1",$D212),H$1,""),"")</f>
        <v/>
      </c>
      <c r="I212" s="4" t="str">
        <f>IFERROR(IF(FIND("2",$D212),I$1,""),"")</f>
        <v/>
      </c>
      <c r="J212" s="4" t="str">
        <f>IFERROR(IF(FIND("3",$D212),J$1,""),"")</f>
        <v/>
      </c>
      <c r="K212" s="4" t="str">
        <f>IFERROR(IF(FIND("4",$D212),K$1,""),"")</f>
        <v/>
      </c>
      <c r="L212" s="4" t="str">
        <f>IFERROR(IF(FIND("5",$D212),L$1,""),"")</f>
        <v>Fri</v>
      </c>
      <c r="M212" s="4" t="e">
        <f t="array" aca="1" ref="M212" ca="1">_xludf.CONCAT("every ",_xludf.TEXTJOIN(", ", TRUE, IF(H212:L212&lt;&gt;"", H212:L212, "")))</f>
        <v>#NAME?</v>
      </c>
    </row>
    <row r="213" spans="1:13" ht="15.75" customHeight="1" x14ac:dyDescent="0.25">
      <c r="A213" s="2" t="s">
        <v>23</v>
      </c>
      <c r="B213" s="2" t="s">
        <v>562</v>
      </c>
      <c r="C213" s="5" t="s">
        <v>16</v>
      </c>
      <c r="D213" s="3">
        <v>5</v>
      </c>
      <c r="E213" s="2" t="s">
        <v>42</v>
      </c>
      <c r="F213" s="4" t="str">
        <f t="array" ref="F213">INDEX(Tasks!$B:$B, MATCH(C213, Tasks!$A:$A, 0))</f>
        <v>Refill Paper Towels, hand soap, Toilet Paper.</v>
      </c>
      <c r="G213" s="4" t="e">
        <f t="array" aca="1" ref="G213" ca="1">_xludf.LET(
  _xlpm.task,$C213,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13" s="4" t="str">
        <f>IFERROR(IF(FIND("1",$D213),H$1,""),"")</f>
        <v/>
      </c>
      <c r="I213" s="4" t="str">
        <f>IFERROR(IF(FIND("2",$D213),I$1,""),"")</f>
        <v/>
      </c>
      <c r="J213" s="4" t="str">
        <f>IFERROR(IF(FIND("3",$D213),J$1,""),"")</f>
        <v/>
      </c>
      <c r="K213" s="4" t="str">
        <f>IFERROR(IF(FIND("4",$D213),K$1,""),"")</f>
        <v/>
      </c>
      <c r="L213" s="4" t="str">
        <f>IFERROR(IF(FIND("5",$D213),L$1,""),"")</f>
        <v>Fri</v>
      </c>
      <c r="M213" s="4" t="e">
        <f t="array" aca="1" ref="M213" ca="1">_xludf.CONCAT("every ",_xludf.TEXTJOIN(", ", TRUE, IF(H213:L213&lt;&gt;"", H213:L213, "")))</f>
        <v>#NAME?</v>
      </c>
    </row>
    <row r="214" spans="1:13" ht="15.75" customHeight="1" x14ac:dyDescent="0.25">
      <c r="A214" s="2" t="s">
        <v>23</v>
      </c>
      <c r="B214" s="2" t="s">
        <v>562</v>
      </c>
      <c r="C214" s="2" t="s">
        <v>17</v>
      </c>
      <c r="D214" s="3">
        <v>5</v>
      </c>
      <c r="E214" s="2" t="s">
        <v>42</v>
      </c>
      <c r="F214" s="4" t="str">
        <f t="array" ref="F214">INDEX(Tasks!$B:$B, MATCH(C214, Tasks!$A:$A, 0))</f>
        <v>Sweep Floors with broom.</v>
      </c>
      <c r="G214" s="4" t="e">
        <f t="array" aca="1" ref="G214" ca="1">_xludf.LET(
  _xlpm.task,$C214,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14" s="4" t="str">
        <f>IFERROR(IF(FIND("1",$D214),H$1,""),"")</f>
        <v/>
      </c>
      <c r="I214" s="4" t="str">
        <f>IFERROR(IF(FIND("2",$D214),I$1,""),"")</f>
        <v/>
      </c>
      <c r="J214" s="4" t="str">
        <f>IFERROR(IF(FIND("3",$D214),J$1,""),"")</f>
        <v/>
      </c>
      <c r="K214" s="4" t="str">
        <f>IFERROR(IF(FIND("4",$D214),K$1,""),"")</f>
        <v/>
      </c>
      <c r="L214" s="4" t="str">
        <f>IFERROR(IF(FIND("5",$D214),L$1,""),"")</f>
        <v>Fri</v>
      </c>
      <c r="M214" s="4" t="e">
        <f t="array" aca="1" ref="M214" ca="1">_xludf.CONCAT("every ",_xludf.TEXTJOIN(", ", TRUE, IF(H214:L214&lt;&gt;"", H214:L214, "")))</f>
        <v>#NAME?</v>
      </c>
    </row>
    <row r="215" spans="1:13" ht="15.75" customHeight="1" x14ac:dyDescent="0.25">
      <c r="A215" s="2" t="s">
        <v>23</v>
      </c>
      <c r="B215" s="2" t="s">
        <v>562</v>
      </c>
      <c r="C215" s="5" t="s">
        <v>45</v>
      </c>
      <c r="D215" s="3">
        <v>5</v>
      </c>
      <c r="E215" s="2" t="s">
        <v>42</v>
      </c>
      <c r="F215" s="4" t="str">
        <f t="array" ref="F215">INDEX(Tasks!$B:$B, MATCH(C215, Tasks!$A:$A, 0))</f>
        <v>Spray with 2in1, wipe with Paper Towel.</v>
      </c>
      <c r="G215" s="4" t="e">
        <f t="array" aca="1" ref="G215" ca="1">_xludf.LET(
  _xlpm.task,$C215,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15" s="4" t="str">
        <f>IFERROR(IF(FIND("1",$D215),H$1,""),"")</f>
        <v/>
      </c>
      <c r="I215" s="4" t="str">
        <f>IFERROR(IF(FIND("2",$D215),I$1,""),"")</f>
        <v/>
      </c>
      <c r="J215" s="4" t="str">
        <f>IFERROR(IF(FIND("3",$D215),J$1,""),"")</f>
        <v/>
      </c>
      <c r="K215" s="4" t="str">
        <f>IFERROR(IF(FIND("4",$D215),K$1,""),"")</f>
        <v/>
      </c>
      <c r="L215" s="4" t="str">
        <f>IFERROR(IF(FIND("5",$D215),L$1,""),"")</f>
        <v>Fri</v>
      </c>
      <c r="M215" s="4" t="e">
        <f t="array" aca="1" ref="M215" ca="1">_xludf.CONCAT("every ",_xludf.TEXTJOIN(", ", TRUE, IF(H215:L215&lt;&gt;"", H215:L215, "")))</f>
        <v>#NAME?</v>
      </c>
    </row>
    <row r="216" spans="1:13" ht="15.75" customHeight="1" x14ac:dyDescent="0.25">
      <c r="A216" s="2" t="s">
        <v>23</v>
      </c>
      <c r="B216" s="2" t="s">
        <v>562</v>
      </c>
      <c r="C216" s="5" t="s">
        <v>18</v>
      </c>
      <c r="D216" s="3">
        <v>5</v>
      </c>
      <c r="E216" s="2" t="s">
        <v>42</v>
      </c>
      <c r="F216" s="4" t="str">
        <f t="array" ref="F216">INDEX(Tasks!$B:$B, MATCH(C216, Tasks!$A:$A, 0))</f>
        <v>Spray with 2in1, wipe with Paper Towel.</v>
      </c>
      <c r="G216" s="4" t="e">
        <f t="array" aca="1" ref="G216" ca="1">_xludf.LET(
  _xlpm.task,$C216,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16" s="4" t="str">
        <f>IFERROR(IF(FIND("1",$D216),H$1,""),"")</f>
        <v/>
      </c>
      <c r="I216" s="4" t="str">
        <f>IFERROR(IF(FIND("2",$D216),I$1,""),"")</f>
        <v/>
      </c>
      <c r="J216" s="4" t="str">
        <f>IFERROR(IF(FIND("3",$D216),J$1,""),"")</f>
        <v/>
      </c>
      <c r="K216" s="4" t="str">
        <f>IFERROR(IF(FIND("4",$D216),K$1,""),"")</f>
        <v/>
      </c>
      <c r="L216" s="4" t="str">
        <f>IFERROR(IF(FIND("5",$D216),L$1,""),"")</f>
        <v>Fri</v>
      </c>
      <c r="M216" s="4" t="e">
        <f t="array" aca="1" ref="M216" ca="1">_xludf.CONCAT("every ",_xludf.TEXTJOIN(", ", TRUE, IF(H216:L216&lt;&gt;"", H216:L216, "")))</f>
        <v>#NAME?</v>
      </c>
    </row>
    <row r="217" spans="1:13" ht="15.75" customHeight="1" x14ac:dyDescent="0.25">
      <c r="A217" s="2" t="s">
        <v>23</v>
      </c>
      <c r="B217" s="2" t="s">
        <v>562</v>
      </c>
      <c r="C217" s="5" t="s">
        <v>19</v>
      </c>
      <c r="D217" s="3">
        <v>5</v>
      </c>
      <c r="E217" s="2" t="s">
        <v>42</v>
      </c>
      <c r="F217" s="4" t="str">
        <f t="array" ref="F217">INDEX(Tasks!$B:$B, MATCH(C217, Tasks!$A:$A, 0))</f>
        <v>Spray Seat, Rim, and Handle with 2in1, wipe with Paper Towel.</v>
      </c>
      <c r="G217" s="4" t="e">
        <f t="array" aca="1" ref="G217" ca="1">_xludf.LET(
  _xlpm.task,$C217,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17" s="4" t="str">
        <f>IFERROR(IF(FIND("1",$D217),H$1,""),"")</f>
        <v/>
      </c>
      <c r="I217" s="4" t="str">
        <f>IFERROR(IF(FIND("2",$D217),I$1,""),"")</f>
        <v/>
      </c>
      <c r="J217" s="4" t="str">
        <f>IFERROR(IF(FIND("3",$D217),J$1,""),"")</f>
        <v/>
      </c>
      <c r="K217" s="4" t="str">
        <f>IFERROR(IF(FIND("4",$D217),K$1,""),"")</f>
        <v/>
      </c>
      <c r="L217" s="4" t="str">
        <f>IFERROR(IF(FIND("5",$D217),L$1,""),"")</f>
        <v>Fri</v>
      </c>
      <c r="M217" s="4" t="e">
        <f t="array" aca="1" ref="M217" ca="1">_xludf.CONCAT("every ",_xludf.TEXTJOIN(", ", TRUE, IF(H217:L217&lt;&gt;"", H217:L217, "")))</f>
        <v>#NAME?</v>
      </c>
    </row>
    <row r="218" spans="1:13" ht="15.75" customHeight="1" x14ac:dyDescent="0.25">
      <c r="A218" s="2" t="s">
        <v>23</v>
      </c>
      <c r="B218" s="2" t="s">
        <v>563</v>
      </c>
      <c r="C218" s="5" t="s">
        <v>36</v>
      </c>
      <c r="D218" s="3">
        <v>5</v>
      </c>
      <c r="E218" s="2" t="s">
        <v>42</v>
      </c>
      <c r="F218" s="4" t="str">
        <f t="array" ref="F218">INDEX(Tasks!$B:$B, MATCH(C218, Tasks!$A:$A, 0))</f>
        <v>Empty trash being careful of leaking bags.</v>
      </c>
      <c r="G218" s="4" t="e">
        <f t="array" aca="1" ref="G218" ca="1">_xludf.LET(
  _xlpm.task,$C218,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18" s="4" t="str">
        <f>IFERROR(IF(FIND("1",$D218),H$1,""),"")</f>
        <v/>
      </c>
      <c r="I218" s="4" t="str">
        <f>IFERROR(IF(FIND("2",$D218),I$1,""),"")</f>
        <v/>
      </c>
      <c r="J218" s="4" t="str">
        <f>IFERROR(IF(FIND("3",$D218),J$1,""),"")</f>
        <v/>
      </c>
      <c r="K218" s="4" t="str">
        <f>IFERROR(IF(FIND("4",$D218),K$1,""),"")</f>
        <v/>
      </c>
      <c r="L218" s="4" t="str">
        <f>IFERROR(IF(FIND("5",$D218),L$1,""),"")</f>
        <v>Fri</v>
      </c>
      <c r="M218" s="4" t="e">
        <f t="array" aca="1" ref="M218" ca="1">_xludf.CONCAT("every ",_xludf.TEXTJOIN(", ", TRUE, IF(H218:L218&lt;&gt;"", H218:L218, "")))</f>
        <v>#NAME?</v>
      </c>
    </row>
    <row r="219" spans="1:13" ht="15.75" customHeight="1" x14ac:dyDescent="0.25">
      <c r="A219" s="2" t="s">
        <v>23</v>
      </c>
      <c r="B219" s="2" t="s">
        <v>563</v>
      </c>
      <c r="C219" s="2" t="s">
        <v>29</v>
      </c>
      <c r="D219" s="3">
        <v>5</v>
      </c>
      <c r="E219" s="2" t="s">
        <v>42</v>
      </c>
      <c r="F219" s="4" t="str">
        <f t="array" ref="F219">INDEX(Tasks!$B:$B, MATCH(C219, Tasks!$A:$A, 0))</f>
        <v>Mix 6oz floor cleaner and 3gal hot water in mop bucket.</v>
      </c>
      <c r="G219" s="4" t="e">
        <f t="array" aca="1" ref="G219" ca="1">_xludf.LET(
  _xlpm.task,$C219,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19" s="4" t="str">
        <f>IFERROR(IF(FIND("1",$D219),H$1,""),"")</f>
        <v/>
      </c>
      <c r="I219" s="4" t="str">
        <f>IFERROR(IF(FIND("2",$D219),I$1,""),"")</f>
        <v/>
      </c>
      <c r="J219" s="4" t="str">
        <f>IFERROR(IF(FIND("3",$D219),J$1,""),"")</f>
        <v/>
      </c>
      <c r="K219" s="4" t="str">
        <f>IFERROR(IF(FIND("4",$D219),K$1,""),"")</f>
        <v/>
      </c>
      <c r="L219" s="4" t="str">
        <f>IFERROR(IF(FIND("5",$D219),L$1,""),"")</f>
        <v>Fri</v>
      </c>
      <c r="M219" s="4" t="e">
        <f t="array" aca="1" ref="M219" ca="1">_xludf.CONCAT("every ",_xludf.TEXTJOIN(", ", TRUE, IF(H219:L219&lt;&gt;"", H219:L219, "")))</f>
        <v>#NAME?</v>
      </c>
    </row>
    <row r="220" spans="1:13" ht="15.75" customHeight="1" x14ac:dyDescent="0.25">
      <c r="A220" s="2" t="s">
        <v>23</v>
      </c>
      <c r="B220" s="2" t="s">
        <v>563</v>
      </c>
      <c r="C220" s="5" t="s">
        <v>43</v>
      </c>
      <c r="D220" s="3">
        <v>5</v>
      </c>
      <c r="E220" s="2" t="s">
        <v>42</v>
      </c>
      <c r="F220" s="4" t="str">
        <f t="array" ref="F220">INDEX(Tasks!$B:$B, MATCH(C220, Tasks!$A:$A, 0))</f>
        <v>Use Barkeepers Friend in bowl, Scrub with sink brush. Finish with 2in1 and Paper Towels.</v>
      </c>
      <c r="G220" s="4" t="e">
        <f t="array" aca="1" ref="G220" ca="1">_xludf.LET(
  _xlpm.task,$C220,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20" s="4" t="str">
        <f>IFERROR(IF(FIND("1",$D220),H$1,""),"")</f>
        <v/>
      </c>
      <c r="I220" s="4" t="str">
        <f>IFERROR(IF(FIND("2",$D220),I$1,""),"")</f>
        <v/>
      </c>
      <c r="J220" s="4" t="str">
        <f>IFERROR(IF(FIND("3",$D220),J$1,""),"")</f>
        <v/>
      </c>
      <c r="K220" s="4" t="str">
        <f>IFERROR(IF(FIND("4",$D220),K$1,""),"")</f>
        <v/>
      </c>
      <c r="L220" s="4" t="str">
        <f>IFERROR(IF(FIND("5",$D220),L$1,""),"")</f>
        <v>Fri</v>
      </c>
      <c r="M220" s="4" t="e">
        <f t="array" aca="1" ref="M220" ca="1">_xludf.CONCAT("every ",_xludf.TEXTJOIN(", ", TRUE, IF(H220:L220&lt;&gt;"", H220:L220, "")))</f>
        <v>#NAME?</v>
      </c>
    </row>
    <row r="221" spans="1:13" ht="15.75" customHeight="1" x14ac:dyDescent="0.25">
      <c r="A221" s="2" t="s">
        <v>23</v>
      </c>
      <c r="B221" s="2" t="s">
        <v>563</v>
      </c>
      <c r="C221" s="5" t="s">
        <v>53</v>
      </c>
      <c r="D221" s="3">
        <v>5</v>
      </c>
      <c r="E221" s="2" t="s">
        <v>42</v>
      </c>
      <c r="F221" s="4" t="str">
        <f t="array" ref="F221">INDEX(Tasks!$B:$B, MATCH(C221, Tasks!$A:$A, 0))</f>
        <v>Scrub Toilet Bowls with Toilet Bowl Cleaner and Toilet Brush. Spray entire Toilet with 2in1 and wipe with Paper Towels.</v>
      </c>
      <c r="G221" s="4" t="e">
        <f t="array" aca="1" ref="G221" ca="1">_xludf.LET(
  _xlpm.task,$C221,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21" s="4" t="str">
        <f>IFERROR(IF(FIND("1",$D221),H$1,""),"")</f>
        <v/>
      </c>
      <c r="I221" s="4" t="str">
        <f>IFERROR(IF(FIND("2",$D221),I$1,""),"")</f>
        <v/>
      </c>
      <c r="J221" s="4" t="str">
        <f>IFERROR(IF(FIND("3",$D221),J$1,""),"")</f>
        <v/>
      </c>
      <c r="K221" s="4" t="str">
        <f>IFERROR(IF(FIND("4",$D221),K$1,""),"")</f>
        <v/>
      </c>
      <c r="L221" s="4" t="str">
        <f>IFERROR(IF(FIND("5",$D221),L$1,""),"")</f>
        <v>Fri</v>
      </c>
      <c r="M221" s="4" t="e">
        <f t="array" aca="1" ref="M221" ca="1">_xludf.CONCAT("every ",_xludf.TEXTJOIN(", ", TRUE, IF(H221:L221&lt;&gt;"", H221:L221, "")))</f>
        <v>#NAME?</v>
      </c>
    </row>
    <row r="222" spans="1:13" ht="15.75" customHeight="1" x14ac:dyDescent="0.25">
      <c r="A222" s="2" t="s">
        <v>23</v>
      </c>
      <c r="B222" s="2" t="s">
        <v>563</v>
      </c>
      <c r="C222" s="5" t="s">
        <v>55</v>
      </c>
      <c r="D222" s="3">
        <v>5</v>
      </c>
      <c r="E222" s="2" t="s">
        <v>42</v>
      </c>
      <c r="F222" s="4" t="str">
        <f t="array" ref="F222">INDEX(Tasks!$B:$B, MATCH(C222, Tasks!$A:$A, 0))</f>
        <v>Clean visibly dirty spots.</v>
      </c>
      <c r="G222" s="4" t="e">
        <f t="array" aca="1" ref="G222" ca="1">_xludf.LET(
  _xlpm.task,$C222,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22" s="4" t="str">
        <f>IFERROR(IF(FIND("1",$D222),H$1,""),"")</f>
        <v/>
      </c>
      <c r="I222" s="4" t="str">
        <f>IFERROR(IF(FIND("2",$D222),I$1,""),"")</f>
        <v/>
      </c>
      <c r="J222" s="4" t="str">
        <f>IFERROR(IF(FIND("3",$D222),J$1,""),"")</f>
        <v/>
      </c>
      <c r="K222" s="4" t="str">
        <f>IFERROR(IF(FIND("4",$D222),K$1,""),"")</f>
        <v/>
      </c>
      <c r="L222" s="4" t="str">
        <f>IFERROR(IF(FIND("5",$D222),L$1,""),"")</f>
        <v>Fri</v>
      </c>
      <c r="M222" s="4" t="e">
        <f t="array" aca="1" ref="M222" ca="1">_xludf.CONCAT("every ",_xludf.TEXTJOIN(", ", TRUE, IF(H222:L222&lt;&gt;"", H222:L222, "")))</f>
        <v>#NAME?</v>
      </c>
    </row>
    <row r="223" spans="1:13" ht="15.75" customHeight="1" x14ac:dyDescent="0.25">
      <c r="A223" s="2" t="s">
        <v>23</v>
      </c>
      <c r="B223" s="2" t="s">
        <v>563</v>
      </c>
      <c r="C223" s="5" t="s">
        <v>16</v>
      </c>
      <c r="D223" s="3">
        <v>5</v>
      </c>
      <c r="E223" s="2" t="s">
        <v>42</v>
      </c>
      <c r="F223" s="4" t="str">
        <f t="array" ref="F223">INDEX(Tasks!$B:$B, MATCH(C223, Tasks!$A:$A, 0))</f>
        <v>Refill Paper Towels, hand soap, Toilet Paper.</v>
      </c>
      <c r="G223" s="4" t="e">
        <f t="array" aca="1" ref="G223" ca="1">_xludf.LET(
  _xlpm.task,$C223,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23" s="4" t="str">
        <f>IFERROR(IF(FIND("1",$D223),H$1,""),"")</f>
        <v/>
      </c>
      <c r="I223" s="4" t="str">
        <f>IFERROR(IF(FIND("2",$D223),I$1,""),"")</f>
        <v/>
      </c>
      <c r="J223" s="4" t="str">
        <f>IFERROR(IF(FIND("3",$D223),J$1,""),"")</f>
        <v/>
      </c>
      <c r="K223" s="4" t="str">
        <f>IFERROR(IF(FIND("4",$D223),K$1,""),"")</f>
        <v/>
      </c>
      <c r="L223" s="4" t="str">
        <f>IFERROR(IF(FIND("5",$D223),L$1,""),"")</f>
        <v>Fri</v>
      </c>
      <c r="M223" s="4" t="e">
        <f t="array" aca="1" ref="M223" ca="1">_xludf.CONCAT("every ",_xludf.TEXTJOIN(", ", TRUE, IF(H223:L223&lt;&gt;"", H223:L223, "")))</f>
        <v>#NAME?</v>
      </c>
    </row>
    <row r="224" spans="1:13" ht="15.75" customHeight="1" x14ac:dyDescent="0.25">
      <c r="A224" s="2" t="s">
        <v>23</v>
      </c>
      <c r="B224" s="2" t="s">
        <v>563</v>
      </c>
      <c r="C224" s="2" t="s">
        <v>17</v>
      </c>
      <c r="D224" s="3">
        <v>5</v>
      </c>
      <c r="E224" s="2" t="s">
        <v>42</v>
      </c>
      <c r="F224" s="4" t="str">
        <f t="array" ref="F224">INDEX(Tasks!$B:$B, MATCH(C224, Tasks!$A:$A, 0))</f>
        <v>Sweep Floors with broom.</v>
      </c>
      <c r="G224" s="4" t="e">
        <f t="array" aca="1" ref="G224" ca="1">_xludf.LET(
  _xlpm.task,$C224,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24" s="4" t="str">
        <f>IFERROR(IF(FIND("1",$D224),H$1,""),"")</f>
        <v/>
      </c>
      <c r="I224" s="4" t="str">
        <f>IFERROR(IF(FIND("2",$D224),I$1,""),"")</f>
        <v/>
      </c>
      <c r="J224" s="4" t="str">
        <f>IFERROR(IF(FIND("3",$D224),J$1,""),"")</f>
        <v/>
      </c>
      <c r="K224" s="4" t="str">
        <f>IFERROR(IF(FIND("4",$D224),K$1,""),"")</f>
        <v/>
      </c>
      <c r="L224" s="4" t="str">
        <f>IFERROR(IF(FIND("5",$D224),L$1,""),"")</f>
        <v>Fri</v>
      </c>
      <c r="M224" s="4" t="e">
        <f t="array" aca="1" ref="M224" ca="1">_xludf.CONCAT("every ",_xludf.TEXTJOIN(", ", TRUE, IF(H224:L224&lt;&gt;"", H224:L224, "")))</f>
        <v>#NAME?</v>
      </c>
    </row>
    <row r="225" spans="1:13" ht="15.75" customHeight="1" x14ac:dyDescent="0.25">
      <c r="A225" s="2" t="s">
        <v>23</v>
      </c>
      <c r="B225" s="2" t="s">
        <v>563</v>
      </c>
      <c r="C225" s="5" t="s">
        <v>45</v>
      </c>
      <c r="D225" s="3">
        <v>5</v>
      </c>
      <c r="E225" s="2" t="s">
        <v>42</v>
      </c>
      <c r="F225" s="4" t="str">
        <f t="array" ref="F225">INDEX(Tasks!$B:$B, MATCH(C225, Tasks!$A:$A, 0))</f>
        <v>Spray with 2in1, wipe with Paper Towel.</v>
      </c>
      <c r="G225" s="4" t="e">
        <f t="array" aca="1" ref="G225" ca="1">_xludf.LET(
  _xlpm.task,$C225,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25" s="4" t="str">
        <f>IFERROR(IF(FIND("1",$D225),H$1,""),"")</f>
        <v/>
      </c>
      <c r="I225" s="4" t="str">
        <f>IFERROR(IF(FIND("2",$D225),I$1,""),"")</f>
        <v/>
      </c>
      <c r="J225" s="4" t="str">
        <f>IFERROR(IF(FIND("3",$D225),J$1,""),"")</f>
        <v/>
      </c>
      <c r="K225" s="4" t="str">
        <f>IFERROR(IF(FIND("4",$D225),K$1,""),"")</f>
        <v/>
      </c>
      <c r="L225" s="4" t="str">
        <f>IFERROR(IF(FIND("5",$D225),L$1,""),"")</f>
        <v>Fri</v>
      </c>
      <c r="M225" s="4" t="e">
        <f t="array" aca="1" ref="M225" ca="1">_xludf.CONCAT("every ",_xludf.TEXTJOIN(", ", TRUE, IF(H225:L225&lt;&gt;"", H225:L225, "")))</f>
        <v>#NAME?</v>
      </c>
    </row>
    <row r="226" spans="1:13" ht="15.75" customHeight="1" x14ac:dyDescent="0.25">
      <c r="A226" s="2" t="s">
        <v>23</v>
      </c>
      <c r="B226" s="2" t="s">
        <v>563</v>
      </c>
      <c r="C226" s="5" t="s">
        <v>18</v>
      </c>
      <c r="D226" s="3">
        <v>5</v>
      </c>
      <c r="E226" s="2" t="s">
        <v>42</v>
      </c>
      <c r="F226" s="4" t="str">
        <f t="array" ref="F226">INDEX(Tasks!$B:$B, MATCH(C226, Tasks!$A:$A, 0))</f>
        <v>Spray with 2in1, wipe with Paper Towel.</v>
      </c>
      <c r="G226" s="4" t="e">
        <f t="array" aca="1" ref="G226" ca="1">_xludf.LET(
  _xlpm.task,$C226,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26" s="4" t="str">
        <f>IFERROR(IF(FIND("1",$D226),H$1,""),"")</f>
        <v/>
      </c>
      <c r="I226" s="4" t="str">
        <f>IFERROR(IF(FIND("2",$D226),I$1,""),"")</f>
        <v/>
      </c>
      <c r="J226" s="4" t="str">
        <f>IFERROR(IF(FIND("3",$D226),J$1,""),"")</f>
        <v/>
      </c>
      <c r="K226" s="4" t="str">
        <f>IFERROR(IF(FIND("4",$D226),K$1,""),"")</f>
        <v/>
      </c>
      <c r="L226" s="4" t="str">
        <f>IFERROR(IF(FIND("5",$D226),L$1,""),"")</f>
        <v>Fri</v>
      </c>
      <c r="M226" s="4" t="e">
        <f t="array" aca="1" ref="M226" ca="1">_xludf.CONCAT("every ",_xludf.TEXTJOIN(", ", TRUE, IF(H226:L226&lt;&gt;"", H226:L226, "")))</f>
        <v>#NAME?</v>
      </c>
    </row>
    <row r="227" spans="1:13" ht="15.75" customHeight="1" x14ac:dyDescent="0.25">
      <c r="A227" s="2" t="s">
        <v>23</v>
      </c>
      <c r="B227" s="2" t="s">
        <v>563</v>
      </c>
      <c r="C227" s="5" t="s">
        <v>19</v>
      </c>
      <c r="D227" s="3">
        <v>5</v>
      </c>
      <c r="E227" s="2" t="s">
        <v>42</v>
      </c>
      <c r="F227" s="4" t="str">
        <f t="array" ref="F227">INDEX(Tasks!$B:$B, MATCH(C227, Tasks!$A:$A, 0))</f>
        <v>Spray Seat, Rim, and Handle with 2in1, wipe with Paper Towel.</v>
      </c>
      <c r="G227" s="4" t="e">
        <f t="array" aca="1" ref="G227" ca="1">_xludf.LET(
  _xlpm.task,$C227,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27" s="4" t="str">
        <f>IFERROR(IF(FIND("1",$D227),H$1,""),"")</f>
        <v/>
      </c>
      <c r="I227" s="4" t="str">
        <f>IFERROR(IF(FIND("2",$D227),I$1,""),"")</f>
        <v/>
      </c>
      <c r="J227" s="4" t="str">
        <f>IFERROR(IF(FIND("3",$D227),J$1,""),"")</f>
        <v/>
      </c>
      <c r="K227" s="4" t="str">
        <f>IFERROR(IF(FIND("4",$D227),K$1,""),"")</f>
        <v/>
      </c>
      <c r="L227" s="4" t="str">
        <f>IFERROR(IF(FIND("5",$D227),L$1,""),"")</f>
        <v>Fri</v>
      </c>
      <c r="M227" s="4" t="e">
        <f t="array" aca="1" ref="M227" ca="1">_xludf.CONCAT("every ",_xludf.TEXTJOIN(", ", TRUE, IF(H227:L227&lt;&gt;"", H227:L227, "")))</f>
        <v>#NAME?</v>
      </c>
    </row>
    <row r="228" spans="1:13" ht="15.75" customHeight="1" x14ac:dyDescent="0.25">
      <c r="A228" s="2" t="s">
        <v>23</v>
      </c>
      <c r="B228" s="2" t="s">
        <v>563</v>
      </c>
      <c r="C228" s="5" t="s">
        <v>15</v>
      </c>
      <c r="D228" s="3">
        <v>14</v>
      </c>
      <c r="E228" s="2" t="s">
        <v>42</v>
      </c>
      <c r="F228" s="4" t="str">
        <f t="array" ref="F228">INDEX(Tasks!$B:$B, MATCH(C228, Tasks!$A:$A, 0))</f>
        <v>Empty trash Including stall bags.</v>
      </c>
      <c r="G228" s="4" t="e">
        <f t="array" aca="1" ref="G228" ca="1">_xludf.LET(
  _xlpm.task,$C228,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28" s="4" t="str">
        <f>IFERROR(IF(FIND("1",$D228),H$1,""),"")</f>
        <v>Mon</v>
      </c>
      <c r="I228" s="4" t="str">
        <f>IFERROR(IF(FIND("2",$D228),I$1,""),"")</f>
        <v/>
      </c>
      <c r="J228" s="4" t="str">
        <f>IFERROR(IF(FIND("3",$D228),J$1,""),"")</f>
        <v/>
      </c>
      <c r="K228" s="4" t="str">
        <f>IFERROR(IF(FIND("4",$D228),K$1,""),"")</f>
        <v>Thu</v>
      </c>
      <c r="L228" s="4" t="str">
        <f>IFERROR(IF(FIND("5",$D228),L$1,""),"")</f>
        <v/>
      </c>
      <c r="M228" s="4" t="e">
        <f t="array" aca="1" ref="M228" ca="1">_xludf.CONCAT("every ",_xludf.TEXTJOIN(", ", TRUE, IF(H228:L228&lt;&gt;"", H228:L228, "")))</f>
        <v>#NAME?</v>
      </c>
    </row>
    <row r="229" spans="1:13" ht="15.75" customHeight="1" x14ac:dyDescent="0.25">
      <c r="A229" s="2" t="s">
        <v>23</v>
      </c>
      <c r="B229" s="2" t="s">
        <v>564</v>
      </c>
      <c r="C229" s="2" t="s">
        <v>29</v>
      </c>
      <c r="D229" s="3">
        <v>4</v>
      </c>
      <c r="E229" s="2" t="s">
        <v>42</v>
      </c>
      <c r="F229" s="4" t="str">
        <f t="array" ref="F229">INDEX(Tasks!$B:$B, MATCH(C229, Tasks!$A:$A, 0))</f>
        <v>Mix 6oz floor cleaner and 3gal hot water in mop bucket.</v>
      </c>
      <c r="G229" s="4" t="e">
        <f t="array" aca="1" ref="G229" ca="1">_xludf.LET(
  _xlpm.task,$C229,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29" s="4" t="str">
        <f>IFERROR(IF(FIND("1",$D229),H$1,""),"")</f>
        <v/>
      </c>
      <c r="I229" s="4" t="str">
        <f>IFERROR(IF(FIND("2",$D229),I$1,""),"")</f>
        <v/>
      </c>
      <c r="J229" s="4" t="str">
        <f>IFERROR(IF(FIND("3",$D229),J$1,""),"")</f>
        <v/>
      </c>
      <c r="K229" s="4" t="str">
        <f>IFERROR(IF(FIND("4",$D229),K$1,""),"")</f>
        <v>Thu</v>
      </c>
      <c r="L229" s="4" t="str">
        <f>IFERROR(IF(FIND("5",$D229),L$1,""),"")</f>
        <v/>
      </c>
      <c r="M229" s="4" t="e">
        <f t="array" aca="1" ref="M229" ca="1">_xludf.CONCAT("every ",_xludf.TEXTJOIN(", ", TRUE, IF(H229:L229&lt;&gt;"", H229:L229, "")))</f>
        <v>#NAME?</v>
      </c>
    </row>
    <row r="230" spans="1:13" ht="15.75" customHeight="1" x14ac:dyDescent="0.25">
      <c r="A230" s="2" t="s">
        <v>23</v>
      </c>
      <c r="B230" s="2" t="s">
        <v>564</v>
      </c>
      <c r="C230" s="5" t="s">
        <v>43</v>
      </c>
      <c r="D230" s="3">
        <v>4</v>
      </c>
      <c r="E230" s="2" t="s">
        <v>42</v>
      </c>
      <c r="F230" s="4" t="str">
        <f t="array" ref="F230">INDEX(Tasks!$B:$B, MATCH(C230, Tasks!$A:$A, 0))</f>
        <v>Use Barkeepers Friend in bowl, Scrub with sink brush. Finish with 2in1 and Paper Towels.</v>
      </c>
      <c r="G230" s="4" t="e">
        <f t="array" aca="1" ref="G230" ca="1">_xludf.LET(
  _xlpm.task,$C230,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30" s="4" t="str">
        <f>IFERROR(IF(FIND("1",$D230),H$1,""),"")</f>
        <v/>
      </c>
      <c r="I230" s="4" t="str">
        <f>IFERROR(IF(FIND("2",$D230),I$1,""),"")</f>
        <v/>
      </c>
      <c r="J230" s="4" t="str">
        <f>IFERROR(IF(FIND("3",$D230),J$1,""),"")</f>
        <v/>
      </c>
      <c r="K230" s="4" t="str">
        <f>IFERROR(IF(FIND("4",$D230),K$1,""),"")</f>
        <v>Thu</v>
      </c>
      <c r="L230" s="4" t="str">
        <f>IFERROR(IF(FIND("5",$D230),L$1,""),"")</f>
        <v/>
      </c>
      <c r="M230" s="4" t="e">
        <f t="array" aca="1" ref="M230" ca="1">_xludf.CONCAT("every ",_xludf.TEXTJOIN(", ", TRUE, IF(H230:L230&lt;&gt;"", H230:L230, "")))</f>
        <v>#NAME?</v>
      </c>
    </row>
    <row r="231" spans="1:13" ht="15.75" customHeight="1" x14ac:dyDescent="0.25">
      <c r="A231" s="2" t="s">
        <v>23</v>
      </c>
      <c r="B231" s="2" t="s">
        <v>564</v>
      </c>
      <c r="C231" s="5" t="s">
        <v>53</v>
      </c>
      <c r="D231" s="3">
        <v>4</v>
      </c>
      <c r="E231" s="2" t="s">
        <v>42</v>
      </c>
      <c r="F231" s="4" t="str">
        <f t="array" ref="F231">INDEX(Tasks!$B:$B, MATCH(C231, Tasks!$A:$A, 0))</f>
        <v>Scrub Toilet Bowls with Toilet Bowl Cleaner and Toilet Brush. Spray entire Toilet with 2in1 and wipe with Paper Towels.</v>
      </c>
      <c r="G231" s="4" t="e">
        <f t="array" aca="1" ref="G231" ca="1">_xludf.LET(
  _xlpm.task,$C231,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31" s="4" t="str">
        <f>IFERROR(IF(FIND("1",$D231),H$1,""),"")</f>
        <v/>
      </c>
      <c r="I231" s="4" t="str">
        <f>IFERROR(IF(FIND("2",$D231),I$1,""),"")</f>
        <v/>
      </c>
      <c r="J231" s="4" t="str">
        <f>IFERROR(IF(FIND("3",$D231),J$1,""),"")</f>
        <v/>
      </c>
      <c r="K231" s="4" t="str">
        <f>IFERROR(IF(FIND("4",$D231),K$1,""),"")</f>
        <v>Thu</v>
      </c>
      <c r="L231" s="4" t="str">
        <f>IFERROR(IF(FIND("5",$D231),L$1,""),"")</f>
        <v/>
      </c>
      <c r="M231" s="4" t="e">
        <f t="array" aca="1" ref="M231" ca="1">_xludf.CONCAT("every ",_xludf.TEXTJOIN(", ", TRUE, IF(H231:L231&lt;&gt;"", H231:L231, "")))</f>
        <v>#NAME?</v>
      </c>
    </row>
    <row r="232" spans="1:13" ht="15.75" customHeight="1" x14ac:dyDescent="0.25">
      <c r="A232" s="2" t="s">
        <v>23</v>
      </c>
      <c r="B232" s="2" t="s">
        <v>564</v>
      </c>
      <c r="C232" s="5" t="s">
        <v>55</v>
      </c>
      <c r="D232" s="3">
        <v>4</v>
      </c>
      <c r="E232" s="2" t="s">
        <v>42</v>
      </c>
      <c r="F232" s="4" t="str">
        <f t="array" ref="F232">INDEX(Tasks!$B:$B, MATCH(C232, Tasks!$A:$A, 0))</f>
        <v>Clean visibly dirty spots.</v>
      </c>
      <c r="G232" s="4" t="e">
        <f t="array" aca="1" ref="G232" ca="1">_xludf.LET(
  _xlpm.task,$C232,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32" s="4" t="str">
        <f>IFERROR(IF(FIND("1",$D232),H$1,""),"")</f>
        <v/>
      </c>
      <c r="I232" s="4" t="str">
        <f>IFERROR(IF(FIND("2",$D232),I$1,""),"")</f>
        <v/>
      </c>
      <c r="J232" s="4" t="str">
        <f>IFERROR(IF(FIND("3",$D232),J$1,""),"")</f>
        <v/>
      </c>
      <c r="K232" s="4" t="str">
        <f>IFERROR(IF(FIND("4",$D232),K$1,""),"")</f>
        <v>Thu</v>
      </c>
      <c r="L232" s="4" t="str">
        <f>IFERROR(IF(FIND("5",$D232),L$1,""),"")</f>
        <v/>
      </c>
      <c r="M232" s="4" t="e">
        <f t="array" aca="1" ref="M232" ca="1">_xludf.CONCAT("every ",_xludf.TEXTJOIN(", ", TRUE, IF(H232:L232&lt;&gt;"", H232:L232, "")))</f>
        <v>#NAME?</v>
      </c>
    </row>
    <row r="233" spans="1:13" ht="15.75" customHeight="1" x14ac:dyDescent="0.25">
      <c r="A233" s="2" t="s">
        <v>23</v>
      </c>
      <c r="B233" s="2" t="s">
        <v>564</v>
      </c>
      <c r="C233" s="5" t="s">
        <v>16</v>
      </c>
      <c r="D233" s="3">
        <v>14</v>
      </c>
      <c r="E233" s="2" t="s">
        <v>42</v>
      </c>
      <c r="F233" s="4" t="str">
        <f t="array" ref="F233">INDEX(Tasks!$B:$B, MATCH(C233, Tasks!$A:$A, 0))</f>
        <v>Refill Paper Towels, hand soap, Toilet Paper.</v>
      </c>
      <c r="G233" s="4" t="e">
        <f t="array" aca="1" ref="G233" ca="1">_xludf.LET(
  _xlpm.task,$C233,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33" s="4" t="str">
        <f>IFERROR(IF(FIND("1",$D233),H$1,""),"")</f>
        <v>Mon</v>
      </c>
      <c r="I233" s="4" t="str">
        <f>IFERROR(IF(FIND("2",$D233),I$1,""),"")</f>
        <v/>
      </c>
      <c r="J233" s="4" t="str">
        <f>IFERROR(IF(FIND("3",$D233),J$1,""),"")</f>
        <v/>
      </c>
      <c r="K233" s="4" t="str">
        <f>IFERROR(IF(FIND("4",$D233),K$1,""),"")</f>
        <v>Thu</v>
      </c>
      <c r="L233" s="4" t="str">
        <f>IFERROR(IF(FIND("5",$D233),L$1,""),"")</f>
        <v/>
      </c>
      <c r="M233" s="4" t="e">
        <f t="array" aca="1" ref="M233" ca="1">_xludf.CONCAT("every ",_xludf.TEXTJOIN(", ", TRUE, IF(H233:L233&lt;&gt;"", H233:L233, "")))</f>
        <v>#NAME?</v>
      </c>
    </row>
    <row r="234" spans="1:13" ht="15.75" customHeight="1" x14ac:dyDescent="0.25">
      <c r="A234" s="2" t="s">
        <v>23</v>
      </c>
      <c r="B234" s="2" t="s">
        <v>564</v>
      </c>
      <c r="C234" s="2" t="s">
        <v>17</v>
      </c>
      <c r="D234" s="3">
        <v>14</v>
      </c>
      <c r="E234" s="2" t="s">
        <v>42</v>
      </c>
      <c r="F234" s="4" t="str">
        <f t="array" ref="F234">INDEX(Tasks!$B:$B, MATCH(C234, Tasks!$A:$A, 0))</f>
        <v>Sweep Floors with broom.</v>
      </c>
      <c r="G234" s="4" t="e">
        <f t="array" aca="1" ref="G234" ca="1">_xludf.LET(
  _xlpm.task,$C234,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34" s="4" t="str">
        <f>IFERROR(IF(FIND("1",$D234),H$1,""),"")</f>
        <v>Mon</v>
      </c>
      <c r="I234" s="4" t="str">
        <f>IFERROR(IF(FIND("2",$D234),I$1,""),"")</f>
        <v/>
      </c>
      <c r="J234" s="4" t="str">
        <f>IFERROR(IF(FIND("3",$D234),J$1,""),"")</f>
        <v/>
      </c>
      <c r="K234" s="4" t="str">
        <f>IFERROR(IF(FIND("4",$D234),K$1,""),"")</f>
        <v>Thu</v>
      </c>
      <c r="L234" s="4" t="str">
        <f>IFERROR(IF(FIND("5",$D234),L$1,""),"")</f>
        <v/>
      </c>
      <c r="M234" s="4" t="e">
        <f t="array" aca="1" ref="M234" ca="1">_xludf.CONCAT("every ",_xludf.TEXTJOIN(", ", TRUE, IF(H234:L234&lt;&gt;"", H234:L234, "")))</f>
        <v>#NAME?</v>
      </c>
    </row>
    <row r="235" spans="1:13" ht="15.75" customHeight="1" x14ac:dyDescent="0.25">
      <c r="A235" s="2" t="s">
        <v>23</v>
      </c>
      <c r="B235" s="2" t="s">
        <v>564</v>
      </c>
      <c r="C235" s="5" t="s">
        <v>45</v>
      </c>
      <c r="D235" s="3">
        <v>14</v>
      </c>
      <c r="E235" s="2" t="s">
        <v>42</v>
      </c>
      <c r="F235" s="4" t="str">
        <f t="array" ref="F235">INDEX(Tasks!$B:$B, MATCH(C235, Tasks!$A:$A, 0))</f>
        <v>Spray with 2in1, wipe with Paper Towel.</v>
      </c>
      <c r="G235" s="4" t="e">
        <f t="array" aca="1" ref="G235" ca="1">_xludf.LET(
  _xlpm.task,$C235,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35" s="4" t="str">
        <f>IFERROR(IF(FIND("1",$D235),H$1,""),"")</f>
        <v>Mon</v>
      </c>
      <c r="I235" s="4" t="str">
        <f>IFERROR(IF(FIND("2",$D235),I$1,""),"")</f>
        <v/>
      </c>
      <c r="J235" s="4" t="str">
        <f>IFERROR(IF(FIND("3",$D235),J$1,""),"")</f>
        <v/>
      </c>
      <c r="K235" s="4" t="str">
        <f>IFERROR(IF(FIND("4",$D235),K$1,""),"")</f>
        <v>Thu</v>
      </c>
      <c r="L235" s="4" t="str">
        <f>IFERROR(IF(FIND("5",$D235),L$1,""),"")</f>
        <v/>
      </c>
      <c r="M235" s="4" t="e">
        <f t="array" aca="1" ref="M235" ca="1">_xludf.CONCAT("every ",_xludf.TEXTJOIN(", ", TRUE, IF(H235:L235&lt;&gt;"", H235:L235, "")))</f>
        <v>#NAME?</v>
      </c>
    </row>
    <row r="236" spans="1:13" ht="15.75" customHeight="1" x14ac:dyDescent="0.25">
      <c r="A236" s="2" t="s">
        <v>23</v>
      </c>
      <c r="B236" s="2" t="s">
        <v>564</v>
      </c>
      <c r="C236" s="5" t="s">
        <v>18</v>
      </c>
      <c r="D236" s="3">
        <v>14</v>
      </c>
      <c r="E236" s="2" t="s">
        <v>42</v>
      </c>
      <c r="F236" s="4" t="str">
        <f t="array" ref="F236">INDEX(Tasks!$B:$B, MATCH(C236, Tasks!$A:$A, 0))</f>
        <v>Spray with 2in1, wipe with Paper Towel.</v>
      </c>
      <c r="G236" s="4" t="e">
        <f t="array" aca="1" ref="G236" ca="1">_xludf.LET(
  _xlpm.task,$C236,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36" s="4" t="str">
        <f>IFERROR(IF(FIND("1",$D236),H$1,""),"")</f>
        <v>Mon</v>
      </c>
      <c r="I236" s="4" t="str">
        <f>IFERROR(IF(FIND("2",$D236),I$1,""),"")</f>
        <v/>
      </c>
      <c r="J236" s="4" t="str">
        <f>IFERROR(IF(FIND("3",$D236),J$1,""),"")</f>
        <v/>
      </c>
      <c r="K236" s="4" t="str">
        <f>IFERROR(IF(FIND("4",$D236),K$1,""),"")</f>
        <v>Thu</v>
      </c>
      <c r="L236" s="4" t="str">
        <f>IFERROR(IF(FIND("5",$D236),L$1,""),"")</f>
        <v/>
      </c>
      <c r="M236" s="4" t="e">
        <f t="array" aca="1" ref="M236" ca="1">_xludf.CONCAT("every ",_xludf.TEXTJOIN(", ", TRUE, IF(H236:L236&lt;&gt;"", H236:L236, "")))</f>
        <v>#NAME?</v>
      </c>
    </row>
    <row r="237" spans="1:13" ht="15.75" customHeight="1" x14ac:dyDescent="0.25">
      <c r="A237" s="2" t="s">
        <v>23</v>
      </c>
      <c r="B237" s="2" t="s">
        <v>564</v>
      </c>
      <c r="C237" s="5" t="s">
        <v>19</v>
      </c>
      <c r="D237" s="3">
        <v>14</v>
      </c>
      <c r="E237" s="2" t="s">
        <v>42</v>
      </c>
      <c r="F237" s="4" t="str">
        <f t="array" ref="F237">INDEX(Tasks!$B:$B, MATCH(C237, Tasks!$A:$A, 0))</f>
        <v>Spray Seat, Rim, and Handle with 2in1, wipe with Paper Towel.</v>
      </c>
      <c r="G237" s="4" t="e">
        <f t="array" aca="1" ref="G237" ca="1">_xludf.LET(
  _xlpm.task,$C237,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37" s="4" t="str">
        <f>IFERROR(IF(FIND("1",$D237),H$1,""),"")</f>
        <v>Mon</v>
      </c>
      <c r="I237" s="4" t="str">
        <f>IFERROR(IF(FIND("2",$D237),I$1,""),"")</f>
        <v/>
      </c>
      <c r="J237" s="4" t="str">
        <f>IFERROR(IF(FIND("3",$D237),J$1,""),"")</f>
        <v/>
      </c>
      <c r="K237" s="4" t="str">
        <f>IFERROR(IF(FIND("4",$D237),K$1,""),"")</f>
        <v>Thu</v>
      </c>
      <c r="L237" s="4" t="str">
        <f>IFERROR(IF(FIND("5",$D237),L$1,""),"")</f>
        <v/>
      </c>
      <c r="M237" s="4" t="e">
        <f t="array" aca="1" ref="M237" ca="1">_xludf.CONCAT("every ",_xludf.TEXTJOIN(", ", TRUE, IF(H237:L237&lt;&gt;"", H237:L237, "")))</f>
        <v>#NAME?</v>
      </c>
    </row>
    <row r="238" spans="1:13" ht="15.75" customHeight="1" x14ac:dyDescent="0.25">
      <c r="A238" s="2" t="s">
        <v>23</v>
      </c>
      <c r="B238" s="2" t="s">
        <v>565</v>
      </c>
      <c r="C238" s="5" t="s">
        <v>15</v>
      </c>
      <c r="D238" s="3">
        <v>134</v>
      </c>
      <c r="E238" s="2" t="s">
        <v>42</v>
      </c>
      <c r="F238" s="4" t="str">
        <f t="array" ref="F238">INDEX(Tasks!$B:$B, MATCH(C238, Tasks!$A:$A, 0))</f>
        <v>Empty trash Including stall bags.</v>
      </c>
      <c r="G238" s="4" t="e">
        <f t="array" aca="1" ref="G238" ca="1">_xludf.LET(
  _xlpm.task,$C238,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38" s="4" t="str">
        <f>IFERROR(IF(FIND("1",$D238),H$1,""),"")</f>
        <v>Mon</v>
      </c>
      <c r="I238" s="4" t="str">
        <f>IFERROR(IF(FIND("2",$D238),I$1,""),"")</f>
        <v/>
      </c>
      <c r="J238" s="4" t="str">
        <f>IFERROR(IF(FIND("3",$D238),J$1,""),"")</f>
        <v>Wed</v>
      </c>
      <c r="K238" s="4" t="str">
        <f>IFERROR(IF(FIND("4",$D238),K$1,""),"")</f>
        <v>Thu</v>
      </c>
      <c r="L238" s="4" t="str">
        <f>IFERROR(IF(FIND("5",$D238),L$1,""),"")</f>
        <v/>
      </c>
      <c r="M238" s="4" t="e">
        <f t="array" aca="1" ref="M238" ca="1">_xludf.CONCAT("every ",_xludf.TEXTJOIN(", ", TRUE, IF(H238:L238&lt;&gt;"", H238:L238, "")))</f>
        <v>#NAME?</v>
      </c>
    </row>
    <row r="239" spans="1:13" ht="15.75" customHeight="1" x14ac:dyDescent="0.25">
      <c r="A239" s="2" t="s">
        <v>23</v>
      </c>
      <c r="B239" s="2" t="s">
        <v>565</v>
      </c>
      <c r="C239" s="2" t="s">
        <v>29</v>
      </c>
      <c r="D239" s="3">
        <v>4</v>
      </c>
      <c r="E239" s="2" t="s">
        <v>42</v>
      </c>
      <c r="F239" s="4" t="str">
        <f t="array" ref="F239">INDEX(Tasks!$B:$B, MATCH(C239, Tasks!$A:$A, 0))</f>
        <v>Mix 6oz floor cleaner and 3gal hot water in mop bucket.</v>
      </c>
      <c r="G239" s="4" t="e">
        <f t="array" aca="1" ref="G239" ca="1">_xludf.LET(
  _xlpm.task,$C239,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39" s="4" t="str">
        <f>IFERROR(IF(FIND("1",$D239),H$1,""),"")</f>
        <v/>
      </c>
      <c r="I239" s="4" t="str">
        <f>IFERROR(IF(FIND("2",$D239),I$1,""),"")</f>
        <v/>
      </c>
      <c r="J239" s="4" t="str">
        <f>IFERROR(IF(FIND("3",$D239),J$1,""),"")</f>
        <v/>
      </c>
      <c r="K239" s="4" t="str">
        <f>IFERROR(IF(FIND("4",$D239),K$1,""),"")</f>
        <v>Thu</v>
      </c>
      <c r="L239" s="4" t="str">
        <f>IFERROR(IF(FIND("5",$D239),L$1,""),"")</f>
        <v/>
      </c>
      <c r="M239" s="4" t="e">
        <f t="array" aca="1" ref="M239" ca="1">_xludf.CONCAT("every ",_xludf.TEXTJOIN(", ", TRUE, IF(H239:L239&lt;&gt;"", H239:L239, "")))</f>
        <v>#NAME?</v>
      </c>
    </row>
    <row r="240" spans="1:13" ht="15.75" customHeight="1" x14ac:dyDescent="0.25">
      <c r="A240" s="2" t="s">
        <v>23</v>
      </c>
      <c r="B240" s="2" t="s">
        <v>565</v>
      </c>
      <c r="C240" s="5" t="s">
        <v>43</v>
      </c>
      <c r="D240" s="3">
        <v>4</v>
      </c>
      <c r="E240" s="2" t="s">
        <v>42</v>
      </c>
      <c r="F240" s="4" t="str">
        <f t="array" ref="F240">INDEX(Tasks!$B:$B, MATCH(C240, Tasks!$A:$A, 0))</f>
        <v>Use Barkeepers Friend in bowl, Scrub with sink brush. Finish with 2in1 and Paper Towels.</v>
      </c>
      <c r="G240" s="4" t="e">
        <f t="array" aca="1" ref="G240" ca="1">_xludf.LET(
  _xlpm.task,$C240,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40" s="4" t="str">
        <f>IFERROR(IF(FIND("1",$D240),H$1,""),"")</f>
        <v/>
      </c>
      <c r="I240" s="4" t="str">
        <f>IFERROR(IF(FIND("2",$D240),I$1,""),"")</f>
        <v/>
      </c>
      <c r="J240" s="4" t="str">
        <f>IFERROR(IF(FIND("3",$D240),J$1,""),"")</f>
        <v/>
      </c>
      <c r="K240" s="4" t="str">
        <f>IFERROR(IF(FIND("4",$D240),K$1,""),"")</f>
        <v>Thu</v>
      </c>
      <c r="L240" s="4" t="str">
        <f>IFERROR(IF(FIND("5",$D240),L$1,""),"")</f>
        <v/>
      </c>
      <c r="M240" s="4" t="e">
        <f t="array" aca="1" ref="M240" ca="1">_xludf.CONCAT("every ",_xludf.TEXTJOIN(", ", TRUE, IF(H240:L240&lt;&gt;"", H240:L240, "")))</f>
        <v>#NAME?</v>
      </c>
    </row>
    <row r="241" spans="1:13" ht="15.75" customHeight="1" x14ac:dyDescent="0.25">
      <c r="A241" s="2" t="s">
        <v>23</v>
      </c>
      <c r="B241" s="2" t="s">
        <v>565</v>
      </c>
      <c r="C241" s="5" t="s">
        <v>53</v>
      </c>
      <c r="D241" s="3">
        <v>4</v>
      </c>
      <c r="E241" s="2" t="s">
        <v>42</v>
      </c>
      <c r="F241" s="4" t="str">
        <f t="array" ref="F241">INDEX(Tasks!$B:$B, MATCH(C241, Tasks!$A:$A, 0))</f>
        <v>Scrub Toilet Bowls with Toilet Bowl Cleaner and Toilet Brush. Spray entire Toilet with 2in1 and wipe with Paper Towels.</v>
      </c>
      <c r="G241" s="4" t="e">
        <f t="array" aca="1" ref="G241" ca="1">_xludf.LET(
  _xlpm.task,$C241,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41" s="4" t="str">
        <f>IFERROR(IF(FIND("1",$D241),H$1,""),"")</f>
        <v/>
      </c>
      <c r="I241" s="4" t="str">
        <f>IFERROR(IF(FIND("2",$D241),I$1,""),"")</f>
        <v/>
      </c>
      <c r="J241" s="4" t="str">
        <f>IFERROR(IF(FIND("3",$D241),J$1,""),"")</f>
        <v/>
      </c>
      <c r="K241" s="4" t="str">
        <f>IFERROR(IF(FIND("4",$D241),K$1,""),"")</f>
        <v>Thu</v>
      </c>
      <c r="L241" s="4" t="str">
        <f>IFERROR(IF(FIND("5",$D241),L$1,""),"")</f>
        <v/>
      </c>
      <c r="M241" s="4" t="e">
        <f t="array" aca="1" ref="M241" ca="1">_xludf.CONCAT("every ",_xludf.TEXTJOIN(", ", TRUE, IF(H241:L241&lt;&gt;"", H241:L241, "")))</f>
        <v>#NAME?</v>
      </c>
    </row>
    <row r="242" spans="1:13" ht="15.75" customHeight="1" x14ac:dyDescent="0.25">
      <c r="A242" s="2" t="s">
        <v>23</v>
      </c>
      <c r="B242" s="2" t="s">
        <v>565</v>
      </c>
      <c r="C242" s="5" t="s">
        <v>55</v>
      </c>
      <c r="D242" s="3">
        <v>4</v>
      </c>
      <c r="E242" s="2" t="s">
        <v>42</v>
      </c>
      <c r="F242" s="4" t="str">
        <f t="array" ref="F242">INDEX(Tasks!$B:$B, MATCH(C242, Tasks!$A:$A, 0))</f>
        <v>Clean visibly dirty spots.</v>
      </c>
      <c r="G242" s="4" t="e">
        <f t="array" aca="1" ref="G242" ca="1">_xludf.LET(
  _xlpm.task,$C242,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42" s="4" t="str">
        <f>IFERROR(IF(FIND("1",$D242),H$1,""),"")</f>
        <v/>
      </c>
      <c r="I242" s="4" t="str">
        <f>IFERROR(IF(FIND("2",$D242),I$1,""),"")</f>
        <v/>
      </c>
      <c r="J242" s="4" t="str">
        <f>IFERROR(IF(FIND("3",$D242),J$1,""),"")</f>
        <v/>
      </c>
      <c r="K242" s="4" t="str">
        <f>IFERROR(IF(FIND("4",$D242),K$1,""),"")</f>
        <v>Thu</v>
      </c>
      <c r="L242" s="4" t="str">
        <f>IFERROR(IF(FIND("5",$D242),L$1,""),"")</f>
        <v/>
      </c>
      <c r="M242" s="4" t="e">
        <f t="array" aca="1" ref="M242" ca="1">_xludf.CONCAT("every ",_xludf.TEXTJOIN(", ", TRUE, IF(H242:L242&lt;&gt;"", H242:L242, "")))</f>
        <v>#NAME?</v>
      </c>
    </row>
    <row r="243" spans="1:13" ht="15.75" customHeight="1" x14ac:dyDescent="0.25">
      <c r="A243" s="2" t="s">
        <v>23</v>
      </c>
      <c r="B243" s="2" t="s">
        <v>565</v>
      </c>
      <c r="C243" s="5" t="s">
        <v>16</v>
      </c>
      <c r="D243" s="3">
        <v>134</v>
      </c>
      <c r="E243" s="2" t="s">
        <v>42</v>
      </c>
      <c r="F243" s="4" t="str">
        <f t="array" ref="F243">INDEX(Tasks!$B:$B, MATCH(C243, Tasks!$A:$A, 0))</f>
        <v>Refill Paper Towels, hand soap, Toilet Paper.</v>
      </c>
      <c r="G243" s="4" t="e">
        <f t="array" aca="1" ref="G243" ca="1">_xludf.LET(
  _xlpm.task,$C243,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43" s="4" t="str">
        <f>IFERROR(IF(FIND("1",$D243),H$1,""),"")</f>
        <v>Mon</v>
      </c>
      <c r="I243" s="4" t="str">
        <f>IFERROR(IF(FIND("2",$D243),I$1,""),"")</f>
        <v/>
      </c>
      <c r="J243" s="4" t="str">
        <f>IFERROR(IF(FIND("3",$D243),J$1,""),"")</f>
        <v>Wed</v>
      </c>
      <c r="K243" s="4" t="str">
        <f>IFERROR(IF(FIND("4",$D243),K$1,""),"")</f>
        <v>Thu</v>
      </c>
      <c r="L243" s="4" t="str">
        <f>IFERROR(IF(FIND("5",$D243),L$1,""),"")</f>
        <v/>
      </c>
      <c r="M243" s="4" t="e">
        <f t="array" aca="1" ref="M243" ca="1">_xludf.CONCAT("every ",_xludf.TEXTJOIN(", ", TRUE, IF(H243:L243&lt;&gt;"", H243:L243, "")))</f>
        <v>#NAME?</v>
      </c>
    </row>
    <row r="244" spans="1:13" ht="15.75" customHeight="1" x14ac:dyDescent="0.25">
      <c r="A244" s="2" t="s">
        <v>23</v>
      </c>
      <c r="B244" s="2" t="s">
        <v>565</v>
      </c>
      <c r="C244" s="2" t="s">
        <v>17</v>
      </c>
      <c r="D244" s="3">
        <v>134</v>
      </c>
      <c r="E244" s="2" t="s">
        <v>42</v>
      </c>
      <c r="F244" s="4" t="str">
        <f t="array" ref="F244">INDEX(Tasks!$B:$B, MATCH(C244, Tasks!$A:$A, 0))</f>
        <v>Sweep Floors with broom.</v>
      </c>
      <c r="G244" s="4" t="e">
        <f t="array" aca="1" ref="G244" ca="1">_xludf.LET(
  _xlpm.task,$C244,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44" s="4" t="str">
        <f>IFERROR(IF(FIND("1",$D244),H$1,""),"")</f>
        <v>Mon</v>
      </c>
      <c r="I244" s="4" t="str">
        <f>IFERROR(IF(FIND("2",$D244),I$1,""),"")</f>
        <v/>
      </c>
      <c r="J244" s="4" t="str">
        <f>IFERROR(IF(FIND("3",$D244),J$1,""),"")</f>
        <v>Wed</v>
      </c>
      <c r="K244" s="4" t="str">
        <f>IFERROR(IF(FIND("4",$D244),K$1,""),"")</f>
        <v>Thu</v>
      </c>
      <c r="L244" s="4" t="str">
        <f>IFERROR(IF(FIND("5",$D244),L$1,""),"")</f>
        <v/>
      </c>
      <c r="M244" s="4" t="e">
        <f t="array" aca="1" ref="M244" ca="1">_xludf.CONCAT("every ",_xludf.TEXTJOIN(", ", TRUE, IF(H244:L244&lt;&gt;"", H244:L244, "")))</f>
        <v>#NAME?</v>
      </c>
    </row>
    <row r="245" spans="1:13" ht="15.75" customHeight="1" x14ac:dyDescent="0.25">
      <c r="A245" s="2" t="s">
        <v>23</v>
      </c>
      <c r="B245" s="2" t="s">
        <v>565</v>
      </c>
      <c r="C245" s="5" t="s">
        <v>45</v>
      </c>
      <c r="D245" s="3">
        <v>134</v>
      </c>
      <c r="E245" s="2" t="s">
        <v>42</v>
      </c>
      <c r="F245" s="4" t="str">
        <f t="array" ref="F245">INDEX(Tasks!$B:$B, MATCH(C245, Tasks!$A:$A, 0))</f>
        <v>Spray with 2in1, wipe with Paper Towel.</v>
      </c>
      <c r="G245" s="4" t="e">
        <f t="array" aca="1" ref="G245" ca="1">_xludf.LET(
  _xlpm.task,$C245,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45" s="4" t="str">
        <f>IFERROR(IF(FIND("1",$D245),H$1,""),"")</f>
        <v>Mon</v>
      </c>
      <c r="I245" s="4" t="str">
        <f>IFERROR(IF(FIND("2",$D245),I$1,""),"")</f>
        <v/>
      </c>
      <c r="J245" s="4" t="str">
        <f>IFERROR(IF(FIND("3",$D245),J$1,""),"")</f>
        <v>Wed</v>
      </c>
      <c r="K245" s="4" t="str">
        <f>IFERROR(IF(FIND("4",$D245),K$1,""),"")</f>
        <v>Thu</v>
      </c>
      <c r="L245" s="4" t="str">
        <f>IFERROR(IF(FIND("5",$D245),L$1,""),"")</f>
        <v/>
      </c>
      <c r="M245" s="4" t="e">
        <f t="array" aca="1" ref="M245" ca="1">_xludf.CONCAT("every ",_xludf.TEXTJOIN(", ", TRUE, IF(H245:L245&lt;&gt;"", H245:L245, "")))</f>
        <v>#NAME?</v>
      </c>
    </row>
    <row r="246" spans="1:13" ht="15.75" customHeight="1" x14ac:dyDescent="0.25">
      <c r="A246" s="2" t="s">
        <v>23</v>
      </c>
      <c r="B246" s="2" t="s">
        <v>565</v>
      </c>
      <c r="C246" s="5" t="s">
        <v>18</v>
      </c>
      <c r="D246" s="3">
        <v>134</v>
      </c>
      <c r="E246" s="2" t="s">
        <v>42</v>
      </c>
      <c r="F246" s="4" t="str">
        <f t="array" ref="F246">INDEX(Tasks!$B:$B, MATCH(C246, Tasks!$A:$A, 0))</f>
        <v>Spray with 2in1, wipe with Paper Towel.</v>
      </c>
      <c r="G246" s="4" t="e">
        <f t="array" aca="1" ref="G246" ca="1">_xludf.LET(
  _xlpm.task,$C246,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46" s="4" t="str">
        <f>IFERROR(IF(FIND("1",$D246),H$1,""),"")</f>
        <v>Mon</v>
      </c>
      <c r="I246" s="4" t="str">
        <f>IFERROR(IF(FIND("2",$D246),I$1,""),"")</f>
        <v/>
      </c>
      <c r="J246" s="4" t="str">
        <f>IFERROR(IF(FIND("3",$D246),J$1,""),"")</f>
        <v>Wed</v>
      </c>
      <c r="K246" s="4" t="str">
        <f>IFERROR(IF(FIND("4",$D246),K$1,""),"")</f>
        <v>Thu</v>
      </c>
      <c r="L246" s="4" t="str">
        <f>IFERROR(IF(FIND("5",$D246),L$1,""),"")</f>
        <v/>
      </c>
      <c r="M246" s="4" t="e">
        <f t="array" aca="1" ref="M246" ca="1">_xludf.CONCAT("every ",_xludf.TEXTJOIN(", ", TRUE, IF(H246:L246&lt;&gt;"", H246:L246, "")))</f>
        <v>#NAME?</v>
      </c>
    </row>
    <row r="247" spans="1:13" ht="15.75" customHeight="1" x14ac:dyDescent="0.25">
      <c r="A247" s="2" t="s">
        <v>23</v>
      </c>
      <c r="B247" s="2" t="s">
        <v>565</v>
      </c>
      <c r="C247" s="5" t="s">
        <v>19</v>
      </c>
      <c r="D247" s="3">
        <v>1345</v>
      </c>
      <c r="E247" s="2" t="s">
        <v>42</v>
      </c>
      <c r="F247" s="4" t="str">
        <f t="array" ref="F247">INDEX(Tasks!$B:$B, MATCH(C247, Tasks!$A:$A, 0))</f>
        <v>Spray Seat, Rim, and Handle with 2in1, wipe with Paper Towel.</v>
      </c>
      <c r="G247" s="4" t="e">
        <f t="array" aca="1" ref="G247" ca="1">_xludf.LET(
  _xlpm.task,$C247,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47" s="4" t="str">
        <f>IFERROR(IF(FIND("1",$D247),H$1,""),"")</f>
        <v>Mon</v>
      </c>
      <c r="I247" s="4" t="str">
        <f>IFERROR(IF(FIND("2",$D247),I$1,""),"")</f>
        <v/>
      </c>
      <c r="J247" s="4" t="str">
        <f>IFERROR(IF(FIND("3",$D247),J$1,""),"")</f>
        <v>Wed</v>
      </c>
      <c r="K247" s="4" t="str">
        <f>IFERROR(IF(FIND("4",$D247),K$1,""),"")</f>
        <v>Thu</v>
      </c>
      <c r="L247" s="4" t="str">
        <f>IFERROR(IF(FIND("5",$D247),L$1,""),"")</f>
        <v>Fri</v>
      </c>
      <c r="M247" s="4" t="e">
        <f t="array" aca="1" ref="M247" ca="1">_xludf.CONCAT("every ",_xludf.TEXTJOIN(", ", TRUE, IF(H247:L247&lt;&gt;"", H247:L247, "")))</f>
        <v>#NAME?</v>
      </c>
    </row>
    <row r="248" spans="1:13" ht="15.75" customHeight="1" x14ac:dyDescent="0.25">
      <c r="A248" s="2" t="s">
        <v>12</v>
      </c>
      <c r="B248" s="2" t="s">
        <v>566</v>
      </c>
      <c r="C248" s="5" t="s">
        <v>15</v>
      </c>
      <c r="D248" s="3">
        <v>12345</v>
      </c>
      <c r="E248" s="2" t="s">
        <v>14</v>
      </c>
      <c r="F248" s="4" t="str">
        <f t="array" ref="F248">INDEX(Tasks!$B:$B, MATCH(C248, Tasks!$A:$A, 0))</f>
        <v>Empty trash Including stall bags.</v>
      </c>
      <c r="G248" s="4" t="e">
        <f t="array" aca="1" ref="G248" ca="1">_xludf.LET(
  _xlpm.task,$C248,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48" s="4" t="str">
        <f>IFERROR(IF(FIND("1",$D248),H$1,""),"")</f>
        <v>Mon</v>
      </c>
      <c r="I248" s="4" t="str">
        <f>IFERROR(IF(FIND("2",$D248),I$1,""),"")</f>
        <v>Tue</v>
      </c>
      <c r="J248" s="4" t="str">
        <f>IFERROR(IF(FIND("3",$D248),J$1,""),"")</f>
        <v>Wed</v>
      </c>
      <c r="K248" s="4" t="str">
        <f>IFERROR(IF(FIND("4",$D248),K$1,""),"")</f>
        <v>Thu</v>
      </c>
      <c r="L248" s="4" t="str">
        <f>IFERROR(IF(FIND("5",$D248),L$1,""),"")</f>
        <v>Fri</v>
      </c>
      <c r="M248" s="4" t="e">
        <f t="array" aca="1" ref="M248" ca="1">_xludf.CONCAT("every ",_xludf.TEXTJOIN(", ", TRUE, IF(H248:L248&lt;&gt;"", H248:L248, "")))</f>
        <v>#NAME?</v>
      </c>
    </row>
    <row r="249" spans="1:13" ht="15.75" customHeight="1" x14ac:dyDescent="0.25">
      <c r="A249" s="2" t="s">
        <v>12</v>
      </c>
      <c r="B249" s="2" t="s">
        <v>566</v>
      </c>
      <c r="C249" s="2" t="s">
        <v>29</v>
      </c>
      <c r="D249" s="3">
        <v>5</v>
      </c>
      <c r="E249" s="2" t="s">
        <v>42</v>
      </c>
      <c r="F249" s="4" t="str">
        <f t="array" ref="F249">INDEX(Tasks!$B:$B, MATCH(C249, Tasks!$A:$A, 0))</f>
        <v>Mix 6oz floor cleaner and 3gal hot water in mop bucket.</v>
      </c>
      <c r="G249" s="4" t="e">
        <f t="array" aca="1" ref="G249" ca="1">_xludf.LET(
  _xlpm.task,$C249,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49" s="4" t="str">
        <f>IFERROR(IF(FIND("1",$D249),H$1,""),"")</f>
        <v/>
      </c>
      <c r="I249" s="4" t="str">
        <f>IFERROR(IF(FIND("2",$D249),I$1,""),"")</f>
        <v/>
      </c>
      <c r="J249" s="4" t="str">
        <f>IFERROR(IF(FIND("3",$D249),J$1,""),"")</f>
        <v/>
      </c>
      <c r="K249" s="4" t="str">
        <f>IFERROR(IF(FIND("4",$D249),K$1,""),"")</f>
        <v/>
      </c>
      <c r="L249" s="4" t="str">
        <f>IFERROR(IF(FIND("5",$D249),L$1,""),"")</f>
        <v>Fri</v>
      </c>
      <c r="M249" s="4" t="e">
        <f t="array" aca="1" ref="M249" ca="1">_xludf.CONCAT("every ",_xludf.TEXTJOIN(", ", TRUE, IF(H249:L249&lt;&gt;"", H249:L249, "")))</f>
        <v>#NAME?</v>
      </c>
    </row>
    <row r="250" spans="1:13" ht="15.75" customHeight="1" x14ac:dyDescent="0.25">
      <c r="A250" s="2" t="s">
        <v>12</v>
      </c>
      <c r="B250" s="2" t="s">
        <v>566</v>
      </c>
      <c r="C250" s="5" t="s">
        <v>53</v>
      </c>
      <c r="D250" s="3">
        <v>5</v>
      </c>
      <c r="E250" s="2" t="s">
        <v>42</v>
      </c>
      <c r="F250" s="4" t="str">
        <f t="array" ref="F250">INDEX(Tasks!$B:$B, MATCH(C250, Tasks!$A:$A, 0))</f>
        <v>Scrub Toilet Bowls with Toilet Bowl Cleaner and Toilet Brush. Spray entire Toilet with 2in1 and wipe with Paper Towels.</v>
      </c>
      <c r="G250" s="4" t="e">
        <f t="array" aca="1" ref="G250" ca="1">_xludf.LET(
  _xlpm.task,$C250,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50" s="4" t="str">
        <f>IFERROR(IF(FIND("1",$D250),H$1,""),"")</f>
        <v/>
      </c>
      <c r="I250" s="4" t="str">
        <f>IFERROR(IF(FIND("2",$D250),I$1,""),"")</f>
        <v/>
      </c>
      <c r="J250" s="4" t="str">
        <f>IFERROR(IF(FIND("3",$D250),J$1,""),"")</f>
        <v/>
      </c>
      <c r="K250" s="4" t="str">
        <f>IFERROR(IF(FIND("4",$D250),K$1,""),"")</f>
        <v/>
      </c>
      <c r="L250" s="4" t="str">
        <f>IFERROR(IF(FIND("5",$D250),L$1,""),"")</f>
        <v>Fri</v>
      </c>
      <c r="M250" s="4" t="e">
        <f t="array" aca="1" ref="M250" ca="1">_xludf.CONCAT("every ",_xludf.TEXTJOIN(", ", TRUE, IF(H250:L250&lt;&gt;"", H250:L250, "")))</f>
        <v>#NAME?</v>
      </c>
    </row>
    <row r="251" spans="1:13" ht="15.75" customHeight="1" x14ac:dyDescent="0.25">
      <c r="A251" s="2" t="s">
        <v>12</v>
      </c>
      <c r="B251" s="2" t="s">
        <v>566</v>
      </c>
      <c r="C251" s="5" t="s">
        <v>55</v>
      </c>
      <c r="D251" s="3">
        <v>5</v>
      </c>
      <c r="E251" s="2" t="s">
        <v>42</v>
      </c>
      <c r="F251" s="4" t="str">
        <f t="array" ref="F251">INDEX(Tasks!$B:$B, MATCH(C251, Tasks!$A:$A, 0))</f>
        <v>Clean visibly dirty spots.</v>
      </c>
      <c r="G251" s="4" t="e">
        <f t="array" aca="1" ref="G251" ca="1">_xludf.LET(
  _xlpm.task,$C251,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51" s="4" t="str">
        <f>IFERROR(IF(FIND("1",$D251),H$1,""),"")</f>
        <v/>
      </c>
      <c r="I251" s="4" t="str">
        <f>IFERROR(IF(FIND("2",$D251),I$1,""),"")</f>
        <v/>
      </c>
      <c r="J251" s="4" t="str">
        <f>IFERROR(IF(FIND("3",$D251),J$1,""),"")</f>
        <v/>
      </c>
      <c r="K251" s="4" t="str">
        <f>IFERROR(IF(FIND("4",$D251),K$1,""),"")</f>
        <v/>
      </c>
      <c r="L251" s="4" t="str">
        <f>IFERROR(IF(FIND("5",$D251),L$1,""),"")</f>
        <v>Fri</v>
      </c>
      <c r="M251" s="4" t="e">
        <f t="array" aca="1" ref="M251" ca="1">_xludf.CONCAT("every ",_xludf.TEXTJOIN(", ", TRUE, IF(H251:L251&lt;&gt;"", H251:L251, "")))</f>
        <v>#NAME?</v>
      </c>
    </row>
    <row r="252" spans="1:13" ht="15.75" customHeight="1" x14ac:dyDescent="0.25">
      <c r="A252" s="2" t="s">
        <v>12</v>
      </c>
      <c r="B252" s="2" t="s">
        <v>566</v>
      </c>
      <c r="C252" s="5" t="s">
        <v>16</v>
      </c>
      <c r="D252" s="3">
        <v>12345</v>
      </c>
      <c r="E252" s="2" t="s">
        <v>14</v>
      </c>
      <c r="F252" s="4" t="str">
        <f t="array" ref="F252">INDEX(Tasks!$B:$B, MATCH(C252, Tasks!$A:$A, 0))</f>
        <v>Refill Paper Towels, hand soap, Toilet Paper.</v>
      </c>
      <c r="G252" s="4" t="e">
        <f t="array" aca="1" ref="G252" ca="1">_xludf.LET(
  _xlpm.task,$C252,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52" s="4" t="str">
        <f>IFERROR(IF(FIND("1",$D252),H$1,""),"")</f>
        <v>Mon</v>
      </c>
      <c r="I252" s="4" t="str">
        <f>IFERROR(IF(FIND("2",$D252),I$1,""),"")</f>
        <v>Tue</v>
      </c>
      <c r="J252" s="4" t="str">
        <f>IFERROR(IF(FIND("3",$D252),J$1,""),"")</f>
        <v>Wed</v>
      </c>
      <c r="K252" s="4" t="str">
        <f>IFERROR(IF(FIND("4",$D252),K$1,""),"")</f>
        <v>Thu</v>
      </c>
      <c r="L252" s="4" t="str">
        <f>IFERROR(IF(FIND("5",$D252),L$1,""),"")</f>
        <v>Fri</v>
      </c>
      <c r="M252" s="4" t="e">
        <f t="array" aca="1" ref="M252" ca="1">_xludf.CONCAT("every ",_xludf.TEXTJOIN(", ", TRUE, IF(H252:L252&lt;&gt;"", H252:L252, "")))</f>
        <v>#NAME?</v>
      </c>
    </row>
    <row r="253" spans="1:13" ht="15.75" customHeight="1" x14ac:dyDescent="0.25">
      <c r="A253" s="2" t="s">
        <v>12</v>
      </c>
      <c r="B253" s="2" t="s">
        <v>566</v>
      </c>
      <c r="C253" s="2" t="s">
        <v>17</v>
      </c>
      <c r="D253" s="3">
        <v>12345</v>
      </c>
      <c r="E253" s="2" t="s">
        <v>14</v>
      </c>
      <c r="F253" s="4" t="str">
        <f t="array" ref="F253">INDEX(Tasks!$B:$B, MATCH(C253, Tasks!$A:$A, 0))</f>
        <v>Sweep Floors with broom.</v>
      </c>
      <c r="G253" s="4" t="e">
        <f t="array" aca="1" ref="G253" ca="1">_xludf.LET(
  _xlpm.task,$C253,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53" s="4" t="str">
        <f>IFERROR(IF(FIND("1",$D253),H$1,""),"")</f>
        <v>Mon</v>
      </c>
      <c r="I253" s="4" t="str">
        <f>IFERROR(IF(FIND("2",$D253),I$1,""),"")</f>
        <v>Tue</v>
      </c>
      <c r="J253" s="4" t="str">
        <f>IFERROR(IF(FIND("3",$D253),J$1,""),"")</f>
        <v>Wed</v>
      </c>
      <c r="K253" s="4" t="str">
        <f>IFERROR(IF(FIND("4",$D253),K$1,""),"")</f>
        <v>Thu</v>
      </c>
      <c r="L253" s="4" t="str">
        <f>IFERROR(IF(FIND("5",$D253),L$1,""),"")</f>
        <v>Fri</v>
      </c>
      <c r="M253" s="4" t="e">
        <f t="array" aca="1" ref="M253" ca="1">_xludf.CONCAT("every ",_xludf.TEXTJOIN(", ", TRUE, IF(H253:L253&lt;&gt;"", H253:L253, "")))</f>
        <v>#NAME?</v>
      </c>
    </row>
    <row r="254" spans="1:13" ht="15.75" customHeight="1" x14ac:dyDescent="0.25">
      <c r="A254" s="2" t="s">
        <v>12</v>
      </c>
      <c r="B254" s="2" t="s">
        <v>566</v>
      </c>
      <c r="C254" s="5" t="s">
        <v>18</v>
      </c>
      <c r="D254" s="3">
        <v>12345</v>
      </c>
      <c r="E254" s="2" t="s">
        <v>14</v>
      </c>
      <c r="F254" s="4" t="str">
        <f t="array" ref="F254">INDEX(Tasks!$B:$B, MATCH(C254, Tasks!$A:$A, 0))</f>
        <v>Spray with 2in1, wipe with Paper Towel.</v>
      </c>
      <c r="G254" s="4" t="e">
        <f t="array" aca="1" ref="G254" ca="1">_xludf.LET(
  _xlpm.task,$C254,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54" s="4" t="str">
        <f>IFERROR(IF(FIND("1",$D254),H$1,""),"")</f>
        <v>Mon</v>
      </c>
      <c r="I254" s="4" t="str">
        <f>IFERROR(IF(FIND("2",$D254),I$1,""),"")</f>
        <v>Tue</v>
      </c>
      <c r="J254" s="4" t="str">
        <f>IFERROR(IF(FIND("3",$D254),J$1,""),"")</f>
        <v>Wed</v>
      </c>
      <c r="K254" s="4" t="str">
        <f>IFERROR(IF(FIND("4",$D254),K$1,""),"")</f>
        <v>Thu</v>
      </c>
      <c r="L254" s="4" t="str">
        <f>IFERROR(IF(FIND("5",$D254),L$1,""),"")</f>
        <v>Fri</v>
      </c>
      <c r="M254" s="4" t="e">
        <f t="array" aca="1" ref="M254" ca="1">_xludf.CONCAT("every ",_xludf.TEXTJOIN(", ", TRUE, IF(H254:L254&lt;&gt;"", H254:L254, "")))</f>
        <v>#NAME?</v>
      </c>
    </row>
    <row r="255" spans="1:13" ht="15.75" customHeight="1" x14ac:dyDescent="0.25">
      <c r="A255" s="2" t="s">
        <v>12</v>
      </c>
      <c r="B255" s="2" t="s">
        <v>566</v>
      </c>
      <c r="C255" s="5" t="s">
        <v>19</v>
      </c>
      <c r="D255" s="3">
        <v>12345</v>
      </c>
      <c r="E255" s="2" t="s">
        <v>14</v>
      </c>
      <c r="F255" s="4" t="str">
        <f t="array" ref="F255">INDEX(Tasks!$B:$B, MATCH(C255, Tasks!$A:$A, 0))</f>
        <v>Spray Seat, Rim, and Handle with 2in1, wipe with Paper Towel.</v>
      </c>
      <c r="G255" s="4" t="e">
        <f t="array" aca="1" ref="G255" ca="1">_xludf.LET(
  _xlpm.task,$C255,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55" s="4" t="str">
        <f>IFERROR(IF(FIND("1",$D255),H$1,""),"")</f>
        <v>Mon</v>
      </c>
      <c r="I255" s="4" t="str">
        <f>IFERROR(IF(FIND("2",$D255),I$1,""),"")</f>
        <v>Tue</v>
      </c>
      <c r="J255" s="4" t="str">
        <f>IFERROR(IF(FIND("3",$D255),J$1,""),"")</f>
        <v>Wed</v>
      </c>
      <c r="K255" s="4" t="str">
        <f>IFERROR(IF(FIND("4",$D255),K$1,""),"")</f>
        <v>Thu</v>
      </c>
      <c r="L255" s="4" t="str">
        <f>IFERROR(IF(FIND("5",$D255),L$1,""),"")</f>
        <v>Fri</v>
      </c>
      <c r="M255" s="4" t="e">
        <f t="array" aca="1" ref="M255" ca="1">_xludf.CONCAT("every ",_xludf.TEXTJOIN(", ", TRUE, IF(H255:L255&lt;&gt;"", H255:L255, "")))</f>
        <v>#NAME?</v>
      </c>
    </row>
    <row r="256" spans="1:13" ht="15.75" customHeight="1" x14ac:dyDescent="0.25">
      <c r="A256" s="2" t="s">
        <v>23</v>
      </c>
      <c r="B256" s="2" t="s">
        <v>567</v>
      </c>
      <c r="C256" s="5" t="s">
        <v>47</v>
      </c>
      <c r="D256" s="3">
        <v>135</v>
      </c>
      <c r="E256" s="2" t="s">
        <v>42</v>
      </c>
      <c r="F256" s="4" t="str">
        <f t="array" ref="F256">INDEX(Tasks!$B:$B, MATCH(C256, Tasks!$A:$A, 0))</f>
        <v>Spray 2in1 on a Paper Towel and wipe down surfaces.</v>
      </c>
      <c r="G256" s="4" t="e">
        <f t="array" aca="1" ref="G256" ca="1">_xludf.LET(
  _xlpm.task,$C256,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56" s="4" t="str">
        <f>IFERROR(IF(FIND("1",$D256),H$1,""),"")</f>
        <v>Mon</v>
      </c>
      <c r="I256" s="4" t="str">
        <f>IFERROR(IF(FIND("2",$D256),I$1,""),"")</f>
        <v/>
      </c>
      <c r="J256" s="4" t="str">
        <f>IFERROR(IF(FIND("3",$D256),J$1,""),"")</f>
        <v>Wed</v>
      </c>
      <c r="K256" s="4" t="str">
        <f>IFERROR(IF(FIND("4",$D256),K$1,""),"")</f>
        <v/>
      </c>
      <c r="L256" s="4" t="str">
        <f>IFERROR(IF(FIND("5",$D256),L$1,""),"")</f>
        <v>Fri</v>
      </c>
      <c r="M256" s="4" t="e">
        <f t="array" aca="1" ref="M256" ca="1">_xludf.CONCAT("every ",_xludf.TEXTJOIN(", ", TRUE, IF(H256:L256&lt;&gt;"", H256:L256, "")))</f>
        <v>#NAME?</v>
      </c>
    </row>
    <row r="257" spans="1:13" ht="15.75" customHeight="1" x14ac:dyDescent="0.25">
      <c r="A257" s="2" t="s">
        <v>23</v>
      </c>
      <c r="B257" s="2" t="s">
        <v>567</v>
      </c>
      <c r="C257" s="5" t="s">
        <v>15</v>
      </c>
      <c r="D257" s="3">
        <v>135</v>
      </c>
      <c r="E257" s="2" t="s">
        <v>42</v>
      </c>
      <c r="F257" s="4" t="str">
        <f t="array" ref="F257">INDEX(Tasks!$B:$B, MATCH(C257, Tasks!$A:$A, 0))</f>
        <v>Empty trash Including stall bags.</v>
      </c>
      <c r="G257" s="4" t="e">
        <f t="array" aca="1" ref="G257" ca="1">_xludf.LET(
  _xlpm.task,$C257,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57" s="4" t="str">
        <f>IFERROR(IF(FIND("1",$D257),H$1,""),"")</f>
        <v>Mon</v>
      </c>
      <c r="I257" s="4" t="str">
        <f>IFERROR(IF(FIND("2",$D257),I$1,""),"")</f>
        <v/>
      </c>
      <c r="J257" s="4" t="str">
        <f>IFERROR(IF(FIND("3",$D257),J$1,""),"")</f>
        <v>Wed</v>
      </c>
      <c r="K257" s="4" t="str">
        <f>IFERROR(IF(FIND("4",$D257),K$1,""),"")</f>
        <v/>
      </c>
      <c r="L257" s="4" t="str">
        <f>IFERROR(IF(FIND("5",$D257),L$1,""),"")</f>
        <v>Fri</v>
      </c>
      <c r="M257" s="4" t="e">
        <f t="array" aca="1" ref="M257" ca="1">_xludf.CONCAT("every ",_xludf.TEXTJOIN(", ", TRUE, IF(H257:L257&lt;&gt;"", H257:L257, "")))</f>
        <v>#NAME?</v>
      </c>
    </row>
    <row r="258" spans="1:13" ht="15.75" customHeight="1" x14ac:dyDescent="0.25">
      <c r="A258" s="2" t="s">
        <v>23</v>
      </c>
      <c r="B258" s="2" t="s">
        <v>567</v>
      </c>
      <c r="C258" s="2" t="s">
        <v>29</v>
      </c>
      <c r="D258" s="3">
        <v>5</v>
      </c>
      <c r="E258" s="2" t="s">
        <v>42</v>
      </c>
      <c r="F258" s="4" t="str">
        <f t="array" ref="F258">INDEX(Tasks!$B:$B, MATCH(C258, Tasks!$A:$A, 0))</f>
        <v>Mix 6oz floor cleaner and 3gal hot water in mop bucket.</v>
      </c>
      <c r="G258" s="4" t="e">
        <f t="array" aca="1" ref="G258" ca="1">_xludf.LET(
  _xlpm.task,$C258,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58" s="4" t="str">
        <f>IFERROR(IF(FIND("1",$D258),H$1,""),"")</f>
        <v/>
      </c>
      <c r="I258" s="4" t="str">
        <f>IFERROR(IF(FIND("2",$D258),I$1,""),"")</f>
        <v/>
      </c>
      <c r="J258" s="4" t="str">
        <f>IFERROR(IF(FIND("3",$D258),J$1,""),"")</f>
        <v/>
      </c>
      <c r="K258" s="4" t="str">
        <f>IFERROR(IF(FIND("4",$D258),K$1,""),"")</f>
        <v/>
      </c>
      <c r="L258" s="4" t="str">
        <f>IFERROR(IF(FIND("5",$D258),L$1,""),"")</f>
        <v>Fri</v>
      </c>
      <c r="M258" s="4" t="e">
        <f t="array" aca="1" ref="M258" ca="1">_xludf.CONCAT("every ",_xludf.TEXTJOIN(", ", TRUE, IF(H258:L258&lt;&gt;"", H258:L258, "")))</f>
        <v>#NAME?</v>
      </c>
    </row>
    <row r="259" spans="1:13" ht="15.75" customHeight="1" x14ac:dyDescent="0.25">
      <c r="A259" s="2" t="s">
        <v>23</v>
      </c>
      <c r="B259" s="2" t="s">
        <v>567</v>
      </c>
      <c r="C259" s="5" t="s">
        <v>43</v>
      </c>
      <c r="D259" s="3">
        <v>5</v>
      </c>
      <c r="E259" s="2" t="s">
        <v>42</v>
      </c>
      <c r="F259" s="4" t="str">
        <f t="array" ref="F259">INDEX(Tasks!$B:$B, MATCH(C259, Tasks!$A:$A, 0))</f>
        <v>Use Barkeepers Friend in bowl, Scrub with sink brush. Finish with 2in1 and Paper Towels.</v>
      </c>
      <c r="G259" s="4" t="e">
        <f t="array" aca="1" ref="G259" ca="1">_xludf.LET(
  _xlpm.task,$C259,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59" s="4" t="str">
        <f>IFERROR(IF(FIND("1",$D259),H$1,""),"")</f>
        <v/>
      </c>
      <c r="I259" s="4" t="str">
        <f>IFERROR(IF(FIND("2",$D259),I$1,""),"")</f>
        <v/>
      </c>
      <c r="J259" s="4" t="str">
        <f>IFERROR(IF(FIND("3",$D259),J$1,""),"")</f>
        <v/>
      </c>
      <c r="K259" s="4" t="str">
        <f>IFERROR(IF(FIND("4",$D259),K$1,""),"")</f>
        <v/>
      </c>
      <c r="L259" s="4" t="str">
        <f>IFERROR(IF(FIND("5",$D259),L$1,""),"")</f>
        <v>Fri</v>
      </c>
      <c r="M259" s="4" t="e">
        <f t="array" aca="1" ref="M259" ca="1">_xludf.CONCAT("every ",_xludf.TEXTJOIN(", ", TRUE, IF(H259:L259&lt;&gt;"", H259:L259, "")))</f>
        <v>#NAME?</v>
      </c>
    </row>
    <row r="260" spans="1:13" ht="15.75" customHeight="1" x14ac:dyDescent="0.25">
      <c r="A260" s="2" t="s">
        <v>23</v>
      </c>
      <c r="B260" s="2" t="s">
        <v>567</v>
      </c>
      <c r="C260" s="5" t="s">
        <v>53</v>
      </c>
      <c r="D260" s="3">
        <v>5</v>
      </c>
      <c r="E260" s="2" t="s">
        <v>42</v>
      </c>
      <c r="F260" s="4" t="str">
        <f t="array" ref="F260">INDEX(Tasks!$B:$B, MATCH(C260, Tasks!$A:$A, 0))</f>
        <v>Scrub Toilet Bowls with Toilet Bowl Cleaner and Toilet Brush. Spray entire Toilet with 2in1 and wipe with Paper Towels.</v>
      </c>
      <c r="G260" s="4" t="e">
        <f t="array" aca="1" ref="G260" ca="1">_xludf.LET(
  _xlpm.task,$C260,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60" s="4" t="str">
        <f>IFERROR(IF(FIND("1",$D260),H$1,""),"")</f>
        <v/>
      </c>
      <c r="I260" s="4" t="str">
        <f>IFERROR(IF(FIND("2",$D260),I$1,""),"")</f>
        <v/>
      </c>
      <c r="J260" s="4" t="str">
        <f>IFERROR(IF(FIND("3",$D260),J$1,""),"")</f>
        <v/>
      </c>
      <c r="K260" s="4" t="str">
        <f>IFERROR(IF(FIND("4",$D260),K$1,""),"")</f>
        <v/>
      </c>
      <c r="L260" s="4" t="str">
        <f>IFERROR(IF(FIND("5",$D260),L$1,""),"")</f>
        <v>Fri</v>
      </c>
      <c r="M260" s="4" t="e">
        <f t="array" aca="1" ref="M260" ca="1">_xludf.CONCAT("every ",_xludf.TEXTJOIN(", ", TRUE, IF(H260:L260&lt;&gt;"", H260:L260, "")))</f>
        <v>#NAME?</v>
      </c>
    </row>
    <row r="261" spans="1:13" ht="15.75" customHeight="1" x14ac:dyDescent="0.25">
      <c r="A261" s="2" t="s">
        <v>23</v>
      </c>
      <c r="B261" s="2" t="s">
        <v>567</v>
      </c>
      <c r="C261" s="5" t="s">
        <v>55</v>
      </c>
      <c r="D261" s="3">
        <v>5</v>
      </c>
      <c r="E261" s="2" t="s">
        <v>42</v>
      </c>
      <c r="F261" s="4" t="str">
        <f t="array" ref="F261">INDEX(Tasks!$B:$B, MATCH(C261, Tasks!$A:$A, 0))</f>
        <v>Clean visibly dirty spots.</v>
      </c>
      <c r="G261" s="4" t="e">
        <f t="array" aca="1" ref="G261" ca="1">_xludf.LET(
  _xlpm.task,$C261,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61" s="4" t="str">
        <f>IFERROR(IF(FIND("1",$D261),H$1,""),"")</f>
        <v/>
      </c>
      <c r="I261" s="4" t="str">
        <f>IFERROR(IF(FIND("2",$D261),I$1,""),"")</f>
        <v/>
      </c>
      <c r="J261" s="4" t="str">
        <f>IFERROR(IF(FIND("3",$D261),J$1,""),"")</f>
        <v/>
      </c>
      <c r="K261" s="4" t="str">
        <f>IFERROR(IF(FIND("4",$D261),K$1,""),"")</f>
        <v/>
      </c>
      <c r="L261" s="4" t="str">
        <f>IFERROR(IF(FIND("5",$D261),L$1,""),"")</f>
        <v>Fri</v>
      </c>
      <c r="M261" s="4" t="e">
        <f t="array" aca="1" ref="M261" ca="1">_xludf.CONCAT("every ",_xludf.TEXTJOIN(", ", TRUE, IF(H261:L261&lt;&gt;"", H261:L261, "")))</f>
        <v>#NAME?</v>
      </c>
    </row>
    <row r="262" spans="1:13" ht="15.75" customHeight="1" x14ac:dyDescent="0.25">
      <c r="A262" s="2" t="s">
        <v>23</v>
      </c>
      <c r="B262" s="2" t="s">
        <v>567</v>
      </c>
      <c r="C262" s="5" t="s">
        <v>16</v>
      </c>
      <c r="D262" s="3">
        <v>135</v>
      </c>
      <c r="E262" s="2" t="s">
        <v>42</v>
      </c>
      <c r="F262" s="4" t="str">
        <f t="array" ref="F262">INDEX(Tasks!$B:$B, MATCH(C262, Tasks!$A:$A, 0))</f>
        <v>Refill Paper Towels, hand soap, Toilet Paper.</v>
      </c>
      <c r="G262" s="4" t="e">
        <f t="array" aca="1" ref="G262" ca="1">_xludf.LET(
  _xlpm.task,$C262,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62" s="4" t="str">
        <f>IFERROR(IF(FIND("1",$D262),H$1,""),"")</f>
        <v>Mon</v>
      </c>
      <c r="I262" s="4" t="str">
        <f>IFERROR(IF(FIND("2",$D262),I$1,""),"")</f>
        <v/>
      </c>
      <c r="J262" s="4" t="str">
        <f>IFERROR(IF(FIND("3",$D262),J$1,""),"")</f>
        <v>Wed</v>
      </c>
      <c r="K262" s="4" t="str">
        <f>IFERROR(IF(FIND("4",$D262),K$1,""),"")</f>
        <v/>
      </c>
      <c r="L262" s="4" t="str">
        <f>IFERROR(IF(FIND("5",$D262),L$1,""),"")</f>
        <v>Fri</v>
      </c>
      <c r="M262" s="4" t="e">
        <f t="array" aca="1" ref="M262" ca="1">_xludf.CONCAT("every ",_xludf.TEXTJOIN(", ", TRUE, IF(H262:L262&lt;&gt;"", H262:L262, "")))</f>
        <v>#NAME?</v>
      </c>
    </row>
    <row r="263" spans="1:13" ht="15.75" customHeight="1" x14ac:dyDescent="0.25">
      <c r="A263" s="2" t="s">
        <v>23</v>
      </c>
      <c r="B263" s="2" t="s">
        <v>567</v>
      </c>
      <c r="C263" s="2" t="s">
        <v>17</v>
      </c>
      <c r="D263" s="3">
        <v>135</v>
      </c>
      <c r="E263" s="2" t="s">
        <v>42</v>
      </c>
      <c r="F263" s="4" t="str">
        <f t="array" ref="F263">INDEX(Tasks!$B:$B, MATCH(C263, Tasks!$A:$A, 0))</f>
        <v>Sweep Floors with broom.</v>
      </c>
      <c r="G263" s="4" t="e">
        <f t="array" aca="1" ref="G263" ca="1">_xludf.LET(
  _xlpm.task,$C263,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63" s="4" t="str">
        <f>IFERROR(IF(FIND("1",$D263),H$1,""),"")</f>
        <v>Mon</v>
      </c>
      <c r="I263" s="4" t="str">
        <f>IFERROR(IF(FIND("2",$D263),I$1,""),"")</f>
        <v/>
      </c>
      <c r="J263" s="4" t="str">
        <f>IFERROR(IF(FIND("3",$D263),J$1,""),"")</f>
        <v>Wed</v>
      </c>
      <c r="K263" s="4" t="str">
        <f>IFERROR(IF(FIND("4",$D263),K$1,""),"")</f>
        <v/>
      </c>
      <c r="L263" s="4" t="str">
        <f>IFERROR(IF(FIND("5",$D263),L$1,""),"")</f>
        <v>Fri</v>
      </c>
      <c r="M263" s="4" t="e">
        <f t="array" aca="1" ref="M263" ca="1">_xludf.CONCAT("every ",_xludf.TEXTJOIN(", ", TRUE, IF(H263:L263&lt;&gt;"", H263:L263, "")))</f>
        <v>#NAME?</v>
      </c>
    </row>
    <row r="264" spans="1:13" ht="15.75" customHeight="1" x14ac:dyDescent="0.25">
      <c r="A264" s="2" t="s">
        <v>23</v>
      </c>
      <c r="B264" s="2" t="s">
        <v>567</v>
      </c>
      <c r="C264" s="5" t="s">
        <v>45</v>
      </c>
      <c r="D264" s="3">
        <v>135</v>
      </c>
      <c r="E264" s="2" t="s">
        <v>42</v>
      </c>
      <c r="F264" s="4" t="str">
        <f t="array" ref="F264">INDEX(Tasks!$B:$B, MATCH(C264, Tasks!$A:$A, 0))</f>
        <v>Spray with 2in1, wipe with Paper Towel.</v>
      </c>
      <c r="G264" s="4" t="e">
        <f t="array" aca="1" ref="G264" ca="1">_xludf.LET(
  _xlpm.task,$C264,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64" s="4" t="str">
        <f>IFERROR(IF(FIND("1",$D264),H$1,""),"")</f>
        <v>Mon</v>
      </c>
      <c r="I264" s="4" t="str">
        <f>IFERROR(IF(FIND("2",$D264),I$1,""),"")</f>
        <v/>
      </c>
      <c r="J264" s="4" t="str">
        <f>IFERROR(IF(FIND("3",$D264),J$1,""),"")</f>
        <v>Wed</v>
      </c>
      <c r="K264" s="4" t="str">
        <f>IFERROR(IF(FIND("4",$D264),K$1,""),"")</f>
        <v/>
      </c>
      <c r="L264" s="4" t="str">
        <f>IFERROR(IF(FIND("5",$D264),L$1,""),"")</f>
        <v>Fri</v>
      </c>
      <c r="M264" s="4" t="e">
        <f t="array" aca="1" ref="M264" ca="1">_xludf.CONCAT("every ",_xludf.TEXTJOIN(", ", TRUE, IF(H264:L264&lt;&gt;"", H264:L264, "")))</f>
        <v>#NAME?</v>
      </c>
    </row>
    <row r="265" spans="1:13" ht="15.75" customHeight="1" x14ac:dyDescent="0.25">
      <c r="A265" s="2" t="s">
        <v>23</v>
      </c>
      <c r="B265" s="2" t="s">
        <v>567</v>
      </c>
      <c r="C265" s="5" t="s">
        <v>18</v>
      </c>
      <c r="D265" s="3">
        <v>135</v>
      </c>
      <c r="E265" s="2" t="s">
        <v>42</v>
      </c>
      <c r="F265" s="4" t="str">
        <f t="array" ref="F265">INDEX(Tasks!$B:$B, MATCH(C265, Tasks!$A:$A, 0))</f>
        <v>Spray with 2in1, wipe with Paper Towel.</v>
      </c>
      <c r="G265" s="4" t="e">
        <f t="array" aca="1" ref="G265" ca="1">_xludf.LET(
  _xlpm.task,$C265,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65" s="4" t="str">
        <f>IFERROR(IF(FIND("1",$D265),H$1,""),"")</f>
        <v>Mon</v>
      </c>
      <c r="I265" s="4" t="str">
        <f>IFERROR(IF(FIND("2",$D265),I$1,""),"")</f>
        <v/>
      </c>
      <c r="J265" s="4" t="str">
        <f>IFERROR(IF(FIND("3",$D265),J$1,""),"")</f>
        <v>Wed</v>
      </c>
      <c r="K265" s="4" t="str">
        <f>IFERROR(IF(FIND("4",$D265),K$1,""),"")</f>
        <v/>
      </c>
      <c r="L265" s="4" t="str">
        <f>IFERROR(IF(FIND("5",$D265),L$1,""),"")</f>
        <v>Fri</v>
      </c>
      <c r="M265" s="4" t="e">
        <f t="array" aca="1" ref="M265" ca="1">_xludf.CONCAT("every ",_xludf.TEXTJOIN(", ", TRUE, IF(H265:L265&lt;&gt;"", H265:L265, "")))</f>
        <v>#NAME?</v>
      </c>
    </row>
    <row r="266" spans="1:13" ht="15.75" customHeight="1" x14ac:dyDescent="0.25">
      <c r="A266" s="2" t="s">
        <v>23</v>
      </c>
      <c r="B266" s="2" t="s">
        <v>567</v>
      </c>
      <c r="C266" s="5" t="s">
        <v>19</v>
      </c>
      <c r="D266" s="3">
        <v>135</v>
      </c>
      <c r="E266" s="2" t="s">
        <v>42</v>
      </c>
      <c r="F266" s="4" t="str">
        <f t="array" ref="F266">INDEX(Tasks!$B:$B, MATCH(C266, Tasks!$A:$A, 0))</f>
        <v>Spray Seat, Rim, and Handle with 2in1, wipe with Paper Towel.</v>
      </c>
      <c r="G266" s="4" t="e">
        <f t="array" aca="1" ref="G266" ca="1">_xludf.LET(
  _xlpm.task,$C266,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66" s="4" t="str">
        <f>IFERROR(IF(FIND("1",$D266),H$1,""),"")</f>
        <v>Mon</v>
      </c>
      <c r="I266" s="4" t="str">
        <f>IFERROR(IF(FIND("2",$D266),I$1,""),"")</f>
        <v/>
      </c>
      <c r="J266" s="4" t="str">
        <f>IFERROR(IF(FIND("3",$D266),J$1,""),"")</f>
        <v>Wed</v>
      </c>
      <c r="K266" s="4" t="str">
        <f>IFERROR(IF(FIND("4",$D266),K$1,""),"")</f>
        <v/>
      </c>
      <c r="L266" s="4" t="str">
        <f>IFERROR(IF(FIND("5",$D266),L$1,""),"")</f>
        <v>Fri</v>
      </c>
      <c r="M266" s="4" t="e">
        <f t="array" aca="1" ref="M266" ca="1">_xludf.CONCAT("every ",_xludf.TEXTJOIN(", ", TRUE, IF(H266:L266&lt;&gt;"", H266:L266, "")))</f>
        <v>#NAME?</v>
      </c>
    </row>
    <row r="267" spans="1:13" ht="15.75" customHeight="1" x14ac:dyDescent="0.25">
      <c r="A267" s="2" t="s">
        <v>12</v>
      </c>
      <c r="B267" s="2" t="s">
        <v>568</v>
      </c>
      <c r="C267" s="5" t="s">
        <v>15</v>
      </c>
      <c r="D267" s="3">
        <v>12345</v>
      </c>
      <c r="E267" s="2" t="s">
        <v>14</v>
      </c>
      <c r="F267" s="4" t="str">
        <f t="array" ref="F267">INDEX(Tasks!$B:$B, MATCH(C267, Tasks!$A:$A, 0))</f>
        <v>Empty trash Including stall bags.</v>
      </c>
      <c r="G267" s="4" t="e">
        <f t="array" aca="1" ref="G267" ca="1">_xludf.LET(
  _xlpm.task,$C267,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67" s="4" t="str">
        <f>IFERROR(IF(FIND("1",$D267),H$1,""),"")</f>
        <v>Mon</v>
      </c>
      <c r="I267" s="4" t="str">
        <f>IFERROR(IF(FIND("2",$D267),I$1,""),"")</f>
        <v>Tue</v>
      </c>
      <c r="J267" s="4" t="str">
        <f>IFERROR(IF(FIND("3",$D267),J$1,""),"")</f>
        <v>Wed</v>
      </c>
      <c r="K267" s="4" t="str">
        <f>IFERROR(IF(FIND("4",$D267),K$1,""),"")</f>
        <v>Thu</v>
      </c>
      <c r="L267" s="4" t="str">
        <f>IFERROR(IF(FIND("5",$D267),L$1,""),"")</f>
        <v>Fri</v>
      </c>
      <c r="M267" s="4" t="e">
        <f t="array" aca="1" ref="M267" ca="1">_xludf.CONCAT("every ",_xludf.TEXTJOIN(", ", TRUE, IF(H267:L267&lt;&gt;"", H267:L267, "")))</f>
        <v>#NAME?</v>
      </c>
    </row>
    <row r="268" spans="1:13" ht="15.75" customHeight="1" x14ac:dyDescent="0.25">
      <c r="A268" s="2" t="s">
        <v>12</v>
      </c>
      <c r="B268" s="2" t="s">
        <v>568</v>
      </c>
      <c r="C268" s="2" t="s">
        <v>29</v>
      </c>
      <c r="D268" s="3">
        <v>5</v>
      </c>
      <c r="E268" s="2" t="s">
        <v>42</v>
      </c>
      <c r="F268" s="4" t="str">
        <f t="array" ref="F268">INDEX(Tasks!$B:$B, MATCH(C268, Tasks!$A:$A, 0))</f>
        <v>Mix 6oz floor cleaner and 3gal hot water in mop bucket.</v>
      </c>
      <c r="G268" s="4" t="e">
        <f t="array" aca="1" ref="G268" ca="1">_xludf.LET(
  _xlpm.task,$C268,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68" s="4" t="str">
        <f>IFERROR(IF(FIND("1",$D268),H$1,""),"")</f>
        <v/>
      </c>
      <c r="I268" s="4" t="str">
        <f>IFERROR(IF(FIND("2",$D268),I$1,""),"")</f>
        <v/>
      </c>
      <c r="J268" s="4" t="str">
        <f>IFERROR(IF(FIND("3",$D268),J$1,""),"")</f>
        <v/>
      </c>
      <c r="K268" s="4" t="str">
        <f>IFERROR(IF(FIND("4",$D268),K$1,""),"")</f>
        <v/>
      </c>
      <c r="L268" s="4" t="str">
        <f>IFERROR(IF(FIND("5",$D268),L$1,""),"")</f>
        <v>Fri</v>
      </c>
      <c r="M268" s="4" t="e">
        <f t="array" aca="1" ref="M268" ca="1">_xludf.CONCAT("every ",_xludf.TEXTJOIN(", ", TRUE, IF(H268:L268&lt;&gt;"", H268:L268, "")))</f>
        <v>#NAME?</v>
      </c>
    </row>
    <row r="269" spans="1:13" ht="15.75" customHeight="1" x14ac:dyDescent="0.25">
      <c r="A269" s="2" t="s">
        <v>12</v>
      </c>
      <c r="B269" s="2" t="s">
        <v>568</v>
      </c>
      <c r="C269" s="5" t="s">
        <v>53</v>
      </c>
      <c r="D269" s="3">
        <v>5</v>
      </c>
      <c r="E269" s="2" t="s">
        <v>42</v>
      </c>
      <c r="F269" s="4" t="str">
        <f t="array" ref="F269">INDEX(Tasks!$B:$B, MATCH(C269, Tasks!$A:$A, 0))</f>
        <v>Scrub Toilet Bowls with Toilet Bowl Cleaner and Toilet Brush. Spray entire Toilet with 2in1 and wipe with Paper Towels.</v>
      </c>
      <c r="G269" s="4" t="e">
        <f t="array" aca="1" ref="G269" ca="1">_xludf.LET(
  _xlpm.task,$C269,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69" s="4" t="str">
        <f>IFERROR(IF(FIND("1",$D269),H$1,""),"")</f>
        <v/>
      </c>
      <c r="I269" s="4" t="str">
        <f>IFERROR(IF(FIND("2",$D269),I$1,""),"")</f>
        <v/>
      </c>
      <c r="J269" s="4" t="str">
        <f>IFERROR(IF(FIND("3",$D269),J$1,""),"")</f>
        <v/>
      </c>
      <c r="K269" s="4" t="str">
        <f>IFERROR(IF(FIND("4",$D269),K$1,""),"")</f>
        <v/>
      </c>
      <c r="L269" s="4" t="str">
        <f>IFERROR(IF(FIND("5",$D269),L$1,""),"")</f>
        <v>Fri</v>
      </c>
      <c r="M269" s="4" t="e">
        <f t="array" aca="1" ref="M269" ca="1">_xludf.CONCAT("every ",_xludf.TEXTJOIN(", ", TRUE, IF(H269:L269&lt;&gt;"", H269:L269, "")))</f>
        <v>#NAME?</v>
      </c>
    </row>
    <row r="270" spans="1:13" ht="15.75" customHeight="1" x14ac:dyDescent="0.25">
      <c r="A270" s="2" t="s">
        <v>12</v>
      </c>
      <c r="B270" s="2" t="s">
        <v>568</v>
      </c>
      <c r="C270" s="5" t="s">
        <v>55</v>
      </c>
      <c r="D270" s="3">
        <v>5</v>
      </c>
      <c r="E270" s="2" t="s">
        <v>42</v>
      </c>
      <c r="F270" s="4" t="str">
        <f t="array" ref="F270">INDEX(Tasks!$B:$B, MATCH(C270, Tasks!$A:$A, 0))</f>
        <v>Clean visibly dirty spots.</v>
      </c>
      <c r="G270" s="4" t="e">
        <f t="array" aca="1" ref="G270" ca="1">_xludf.LET(
  _xlpm.task,$C270,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70" s="4" t="str">
        <f>IFERROR(IF(FIND("1",$D270),H$1,""),"")</f>
        <v/>
      </c>
      <c r="I270" s="4" t="str">
        <f>IFERROR(IF(FIND("2",$D270),I$1,""),"")</f>
        <v/>
      </c>
      <c r="J270" s="4" t="str">
        <f>IFERROR(IF(FIND("3",$D270),J$1,""),"")</f>
        <v/>
      </c>
      <c r="K270" s="4" t="str">
        <f>IFERROR(IF(FIND("4",$D270),K$1,""),"")</f>
        <v/>
      </c>
      <c r="L270" s="4" t="str">
        <f>IFERROR(IF(FIND("5",$D270),L$1,""),"")</f>
        <v>Fri</v>
      </c>
      <c r="M270" s="4" t="e">
        <f t="array" aca="1" ref="M270" ca="1">_xludf.CONCAT("every ",_xludf.TEXTJOIN(", ", TRUE, IF(H270:L270&lt;&gt;"", H270:L270, "")))</f>
        <v>#NAME?</v>
      </c>
    </row>
    <row r="271" spans="1:13" ht="15.75" customHeight="1" x14ac:dyDescent="0.25">
      <c r="A271" s="2" t="s">
        <v>12</v>
      </c>
      <c r="B271" s="2" t="s">
        <v>568</v>
      </c>
      <c r="C271" s="5" t="s">
        <v>16</v>
      </c>
      <c r="D271" s="3">
        <v>12345</v>
      </c>
      <c r="E271" s="2" t="s">
        <v>14</v>
      </c>
      <c r="F271" s="4" t="str">
        <f t="array" ref="F271">INDEX(Tasks!$B:$B, MATCH(C271, Tasks!$A:$A, 0))</f>
        <v>Refill Paper Towels, hand soap, Toilet Paper.</v>
      </c>
      <c r="G271" s="4" t="e">
        <f t="array" aca="1" ref="G271" ca="1">_xludf.LET(
  _xlpm.task,$C271,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71" s="4" t="str">
        <f>IFERROR(IF(FIND("1",$D271),H$1,""),"")</f>
        <v>Mon</v>
      </c>
      <c r="I271" s="4" t="str">
        <f>IFERROR(IF(FIND("2",$D271),I$1,""),"")</f>
        <v>Tue</v>
      </c>
      <c r="J271" s="4" t="str">
        <f>IFERROR(IF(FIND("3",$D271),J$1,""),"")</f>
        <v>Wed</v>
      </c>
      <c r="K271" s="4" t="str">
        <f>IFERROR(IF(FIND("4",$D271),K$1,""),"")</f>
        <v>Thu</v>
      </c>
      <c r="L271" s="4" t="str">
        <f>IFERROR(IF(FIND("5",$D271),L$1,""),"")</f>
        <v>Fri</v>
      </c>
      <c r="M271" s="4" t="e">
        <f t="array" aca="1" ref="M271" ca="1">_xludf.CONCAT("every ",_xludf.TEXTJOIN(", ", TRUE, IF(H271:L271&lt;&gt;"", H271:L271, "")))</f>
        <v>#NAME?</v>
      </c>
    </row>
    <row r="272" spans="1:13" ht="15.75" customHeight="1" x14ac:dyDescent="0.25">
      <c r="A272" s="2" t="s">
        <v>12</v>
      </c>
      <c r="B272" s="2" t="s">
        <v>568</v>
      </c>
      <c r="C272" s="2" t="s">
        <v>17</v>
      </c>
      <c r="D272" s="3">
        <v>12345</v>
      </c>
      <c r="E272" s="2" t="s">
        <v>14</v>
      </c>
      <c r="F272" s="4" t="str">
        <f t="array" ref="F272">INDEX(Tasks!$B:$B, MATCH(C272, Tasks!$A:$A, 0))</f>
        <v>Sweep Floors with broom.</v>
      </c>
      <c r="G272" s="4" t="e">
        <f t="array" aca="1" ref="G272" ca="1">_xludf.LET(
  _xlpm.task,$C272,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72" s="4" t="str">
        <f>IFERROR(IF(FIND("1",$D272),H$1,""),"")</f>
        <v>Mon</v>
      </c>
      <c r="I272" s="4" t="str">
        <f>IFERROR(IF(FIND("2",$D272),I$1,""),"")</f>
        <v>Tue</v>
      </c>
      <c r="J272" s="4" t="str">
        <f>IFERROR(IF(FIND("3",$D272),J$1,""),"")</f>
        <v>Wed</v>
      </c>
      <c r="K272" s="4" t="str">
        <f>IFERROR(IF(FIND("4",$D272),K$1,""),"")</f>
        <v>Thu</v>
      </c>
      <c r="L272" s="4" t="str">
        <f>IFERROR(IF(FIND("5",$D272),L$1,""),"")</f>
        <v>Fri</v>
      </c>
      <c r="M272" s="4" t="e">
        <f t="array" aca="1" ref="M272" ca="1">_xludf.CONCAT("every ",_xludf.TEXTJOIN(", ", TRUE, IF(H272:L272&lt;&gt;"", H272:L272, "")))</f>
        <v>#NAME?</v>
      </c>
    </row>
    <row r="273" spans="1:13" ht="15.75" customHeight="1" x14ac:dyDescent="0.25">
      <c r="A273" s="2" t="s">
        <v>12</v>
      </c>
      <c r="B273" s="2" t="s">
        <v>568</v>
      </c>
      <c r="C273" s="5" t="s">
        <v>18</v>
      </c>
      <c r="D273" s="3">
        <v>12345</v>
      </c>
      <c r="E273" s="2" t="s">
        <v>14</v>
      </c>
      <c r="F273" s="4" t="str">
        <f t="array" ref="F273">INDEX(Tasks!$B:$B, MATCH(C273, Tasks!$A:$A, 0))</f>
        <v>Spray with 2in1, wipe with Paper Towel.</v>
      </c>
      <c r="G273" s="4" t="e">
        <f t="array" aca="1" ref="G273" ca="1">_xludf.LET(
  _xlpm.task,$C273,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73" s="4" t="str">
        <f>IFERROR(IF(FIND("1",$D273),H$1,""),"")</f>
        <v>Mon</v>
      </c>
      <c r="I273" s="4" t="str">
        <f>IFERROR(IF(FIND("2",$D273),I$1,""),"")</f>
        <v>Tue</v>
      </c>
      <c r="J273" s="4" t="str">
        <f>IFERROR(IF(FIND("3",$D273),J$1,""),"")</f>
        <v>Wed</v>
      </c>
      <c r="K273" s="4" t="str">
        <f>IFERROR(IF(FIND("4",$D273),K$1,""),"")</f>
        <v>Thu</v>
      </c>
      <c r="L273" s="4" t="str">
        <f>IFERROR(IF(FIND("5",$D273),L$1,""),"")</f>
        <v>Fri</v>
      </c>
      <c r="M273" s="4" t="e">
        <f t="array" aca="1" ref="M273" ca="1">_xludf.CONCAT("every ",_xludf.TEXTJOIN(", ", TRUE, IF(H273:L273&lt;&gt;"", H273:L273, "")))</f>
        <v>#NAME?</v>
      </c>
    </row>
    <row r="274" spans="1:13" ht="15.75" customHeight="1" x14ac:dyDescent="0.25">
      <c r="A274" s="2" t="s">
        <v>12</v>
      </c>
      <c r="B274" s="2" t="s">
        <v>568</v>
      </c>
      <c r="C274" s="5" t="s">
        <v>19</v>
      </c>
      <c r="D274" s="3">
        <v>12345</v>
      </c>
      <c r="E274" s="2" t="s">
        <v>14</v>
      </c>
      <c r="F274" s="4" t="str">
        <f t="array" ref="F274">INDEX(Tasks!$B:$B, MATCH(C274, Tasks!$A:$A, 0))</f>
        <v>Spray Seat, Rim, and Handle with 2in1, wipe with Paper Towel.</v>
      </c>
      <c r="G274" s="4" t="e">
        <f t="array" aca="1" ref="G274" ca="1">_xludf.LET(
  _xlpm.task,$C274,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74" s="4" t="str">
        <f>IFERROR(IF(FIND("1",$D274),H$1,""),"")</f>
        <v>Mon</v>
      </c>
      <c r="I274" s="4" t="str">
        <f>IFERROR(IF(FIND("2",$D274),I$1,""),"")</f>
        <v>Tue</v>
      </c>
      <c r="J274" s="4" t="str">
        <f>IFERROR(IF(FIND("3",$D274),J$1,""),"")</f>
        <v>Wed</v>
      </c>
      <c r="K274" s="4" t="str">
        <f>IFERROR(IF(FIND("4",$D274),K$1,""),"")</f>
        <v>Thu</v>
      </c>
      <c r="L274" s="4" t="str">
        <f>IFERROR(IF(FIND("5",$D274),L$1,""),"")</f>
        <v>Fri</v>
      </c>
      <c r="M274" s="4" t="e">
        <f t="array" aca="1" ref="M274" ca="1">_xludf.CONCAT("every ",_xludf.TEXTJOIN(", ", TRUE, IF(H274:L274&lt;&gt;"", H274:L274, "")))</f>
        <v>#NAME?</v>
      </c>
    </row>
    <row r="275" spans="1:13" ht="15.75" customHeight="1" x14ac:dyDescent="0.25">
      <c r="A275" s="2" t="s">
        <v>23</v>
      </c>
      <c r="B275" s="2" t="s">
        <v>37</v>
      </c>
      <c r="C275" s="5" t="s">
        <v>31</v>
      </c>
      <c r="D275" s="3">
        <v>1</v>
      </c>
      <c r="E275" s="2" t="s">
        <v>14</v>
      </c>
      <c r="F275" s="4" t="str">
        <f t="array" ref="F275">INDEX(Tasks!$B:$B, MATCH(C275, Tasks!$A:$A, 0))</f>
        <v>Use Carpet Machine to clean Coffee Stains.</v>
      </c>
      <c r="G275" s="4" t="e">
        <f t="array" aca="1" ref="G275" ca="1">_xludf.LET(
  _xlpm.task,$C275,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75" s="4" t="str">
        <f>IFERROR(IF(FIND("1",$D275),H$1,""),"")</f>
        <v>Mon</v>
      </c>
      <c r="I275" s="4" t="str">
        <f>IFERROR(IF(FIND("2",$D275),I$1,""),"")</f>
        <v/>
      </c>
      <c r="J275" s="4" t="str">
        <f>IFERROR(IF(FIND("3",$D275),J$1,""),"")</f>
        <v/>
      </c>
      <c r="K275" s="4" t="str">
        <f>IFERROR(IF(FIND("4",$D275),K$1,""),"")</f>
        <v/>
      </c>
      <c r="L275" s="4" t="str">
        <f>IFERROR(IF(FIND("5",$D275),L$1,""),"")</f>
        <v/>
      </c>
      <c r="M275" s="4" t="e">
        <f t="array" aca="1" ref="M275" ca="1">_xludf.CONCAT("every ",_xludf.TEXTJOIN(", ", TRUE, IF(H275:L275&lt;&gt;"", H275:L275, "")))</f>
        <v>#NAME?</v>
      </c>
    </row>
    <row r="276" spans="1:13" ht="15.75" customHeight="1" x14ac:dyDescent="0.25">
      <c r="A276" s="2" t="s">
        <v>23</v>
      </c>
      <c r="B276" s="2" t="s">
        <v>37</v>
      </c>
      <c r="C276" s="5" t="s">
        <v>38</v>
      </c>
      <c r="D276" s="3">
        <v>1</v>
      </c>
      <c r="E276" s="2" t="s">
        <v>14</v>
      </c>
      <c r="F276" s="4" t="str">
        <f t="array" ref="F276">INDEX(Tasks!$B:$B, MATCH(C276, Tasks!$A:$A, 0))</f>
        <v>Pickup communion cups and other trash on floor and seats, and in seat backs.</v>
      </c>
      <c r="G276" s="4" t="e">
        <f t="array" aca="1" ref="G276" ca="1">_xludf.LET(
  _xlpm.task,$C276,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76" s="4" t="str">
        <f>IFERROR(IF(FIND("1",$D276),H$1,""),"")</f>
        <v>Mon</v>
      </c>
      <c r="I276" s="4" t="str">
        <f>IFERROR(IF(FIND("2",$D276),I$1,""),"")</f>
        <v/>
      </c>
      <c r="J276" s="4" t="str">
        <f>IFERROR(IF(FIND("3",$D276),J$1,""),"")</f>
        <v/>
      </c>
      <c r="K276" s="4" t="str">
        <f>IFERROR(IF(FIND("4",$D276),K$1,""),"")</f>
        <v/>
      </c>
      <c r="L276" s="4" t="str">
        <f>IFERROR(IF(FIND("5",$D276),L$1,""),"")</f>
        <v/>
      </c>
      <c r="M276" s="4" t="e">
        <f t="array" aca="1" ref="M276" ca="1">_xludf.CONCAT("every ",_xludf.TEXTJOIN(", ", TRUE, IF(H276:L276&lt;&gt;"", H276:L276, "")))</f>
        <v>#NAME?</v>
      </c>
    </row>
    <row r="277" spans="1:13" ht="15.75" customHeight="1" x14ac:dyDescent="0.25">
      <c r="A277" s="2" t="s">
        <v>23</v>
      </c>
      <c r="B277" s="2" t="s">
        <v>37</v>
      </c>
      <c r="C277" s="5" t="s">
        <v>26</v>
      </c>
      <c r="D277" s="3">
        <v>1</v>
      </c>
      <c r="E277" s="2" t="s">
        <v>14</v>
      </c>
      <c r="F277" s="4" t="str">
        <f t="array" ref="F277">INDEX(Tasks!$B:$B, MATCH(C277, Tasks!$A:$A, 0))</f>
        <v>Clean visibly dirty spots.</v>
      </c>
      <c r="G277" s="4" t="e">
        <f t="array" aca="1" ref="G277" ca="1">_xludf.LET(
  _xlpm.task,$C277,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77" s="4" t="str">
        <f>IFERROR(IF(FIND("1",$D277),H$1,""),"")</f>
        <v>Mon</v>
      </c>
      <c r="I277" s="4" t="str">
        <f>IFERROR(IF(FIND("2",$D277),I$1,""),"")</f>
        <v/>
      </c>
      <c r="J277" s="4" t="str">
        <f>IFERROR(IF(FIND("3",$D277),J$1,""),"")</f>
        <v/>
      </c>
      <c r="K277" s="4" t="str">
        <f>IFERROR(IF(FIND("4",$D277),K$1,""),"")</f>
        <v/>
      </c>
      <c r="L277" s="4" t="str">
        <f>IFERROR(IF(FIND("5",$D277),L$1,""),"")</f>
        <v/>
      </c>
      <c r="M277" s="4" t="e">
        <f t="array" aca="1" ref="M277" ca="1">_xludf.CONCAT("every ",_xludf.TEXTJOIN(", ", TRUE, IF(H277:L277&lt;&gt;"", H277:L277, "")))</f>
        <v>#NAME?</v>
      </c>
    </row>
    <row r="278" spans="1:13" ht="15.75" customHeight="1" x14ac:dyDescent="0.25">
      <c r="A278" s="2" t="s">
        <v>23</v>
      </c>
      <c r="B278" s="2" t="s">
        <v>37</v>
      </c>
      <c r="C278" s="6" t="s">
        <v>39</v>
      </c>
      <c r="D278" s="3">
        <v>1</v>
      </c>
      <c r="E278" s="2" t="s">
        <v>14</v>
      </c>
      <c r="F278" s="4" t="str">
        <f t="array" ref="F278">INDEX(Tasks!$B:$B, MATCH(C278, Tasks!$A:$A, 0))</f>
        <v>Arrange chairs in straight rows on floor marks.</v>
      </c>
      <c r="G278" s="4" t="e">
        <f t="array" aca="1" ref="G278" ca="1">_xludf.LET(
  _xlpm.task,$C278,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78" s="4" t="str">
        <f>IFERROR(IF(FIND("1",$D278),H$1,""),"")</f>
        <v>Mon</v>
      </c>
      <c r="I278" s="4" t="str">
        <f>IFERROR(IF(FIND("2",$D278),I$1,""),"")</f>
        <v/>
      </c>
      <c r="J278" s="4" t="str">
        <f>IFERROR(IF(FIND("3",$D278),J$1,""),"")</f>
        <v/>
      </c>
      <c r="K278" s="4" t="str">
        <f>IFERROR(IF(FIND("4",$D278),K$1,""),"")</f>
        <v/>
      </c>
      <c r="L278" s="4" t="str">
        <f>IFERROR(IF(FIND("5",$D278),L$1,""),"")</f>
        <v/>
      </c>
      <c r="M278" s="4" t="e">
        <f t="array" aca="1" ref="M278" ca="1">_xludf.CONCAT("every ",_xludf.TEXTJOIN(", ", TRUE, IF(H278:L278&lt;&gt;"", H278:L278, "")))</f>
        <v>#NAME?</v>
      </c>
    </row>
    <row r="279" spans="1:13" ht="15.75" customHeight="1" x14ac:dyDescent="0.25">
      <c r="A279" s="2" t="s">
        <v>23</v>
      </c>
      <c r="B279" s="2" t="s">
        <v>37</v>
      </c>
      <c r="C279" s="2" t="s">
        <v>13</v>
      </c>
      <c r="D279" s="3">
        <v>1</v>
      </c>
      <c r="E279" s="2" t="s">
        <v>14</v>
      </c>
      <c r="F279" s="4" t="str">
        <f t="array" ref="F279">INDEX(Tasks!$B:$B, MATCH(C279, Tasks!$A:$A, 0))</f>
        <v>Use Backpack Vacuum.</v>
      </c>
      <c r="G279" s="4" t="e">
        <f t="array" aca="1" ref="G279" ca="1">_xludf.LET(
  _xlpm.task,$C279,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79" s="4" t="str">
        <f>IFERROR(IF(FIND("1",$D279),H$1,""),"")</f>
        <v>Mon</v>
      </c>
      <c r="I279" s="4" t="str">
        <f>IFERROR(IF(FIND("2",$D279),I$1,""),"")</f>
        <v/>
      </c>
      <c r="J279" s="4" t="str">
        <f>IFERROR(IF(FIND("3",$D279),J$1,""),"")</f>
        <v/>
      </c>
      <c r="K279" s="4" t="str">
        <f>IFERROR(IF(FIND("4",$D279),K$1,""),"")</f>
        <v/>
      </c>
      <c r="L279" s="4" t="str">
        <f>IFERROR(IF(FIND("5",$D279),L$1,""),"")</f>
        <v/>
      </c>
      <c r="M279" s="4" t="e">
        <f t="array" aca="1" ref="M279" ca="1">_xludf.CONCAT("every ",_xludf.TEXTJOIN(", ", TRUE, IF(H279:L279&lt;&gt;"", H279:L279, "")))</f>
        <v>#NAME?</v>
      </c>
    </row>
    <row r="280" spans="1:13" ht="15.75" customHeight="1" x14ac:dyDescent="0.25">
      <c r="A280" s="2" t="s">
        <v>23</v>
      </c>
      <c r="B280" s="2" t="s">
        <v>37</v>
      </c>
      <c r="C280" s="5" t="s">
        <v>22</v>
      </c>
      <c r="D280" s="3">
        <v>1</v>
      </c>
      <c r="E280" s="2" t="s">
        <v>14</v>
      </c>
      <c r="F280" s="4" t="str">
        <f t="array" ref="F280">INDEX(Tasks!$B:$B, MATCH(C280, Tasks!$A:$A, 0))</f>
        <v>Use handheld Vacuum from janitorial closet.</v>
      </c>
      <c r="G280" s="4" t="e">
        <f t="array" aca="1" ref="G280" ca="1">_xludf.LET(
  _xlpm.task,$C280,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80" s="4" t="str">
        <f>IFERROR(IF(FIND("1",$D280),H$1,""),"")</f>
        <v>Mon</v>
      </c>
      <c r="I280" s="4" t="str">
        <f>IFERROR(IF(FIND("2",$D280),I$1,""),"")</f>
        <v/>
      </c>
      <c r="J280" s="4" t="str">
        <f>IFERROR(IF(FIND("3",$D280),J$1,""),"")</f>
        <v/>
      </c>
      <c r="K280" s="4" t="str">
        <f>IFERROR(IF(FIND("4",$D280),K$1,""),"")</f>
        <v/>
      </c>
      <c r="L280" s="4" t="str">
        <f>IFERROR(IF(FIND("5",$D280),L$1,""),"")</f>
        <v/>
      </c>
      <c r="M280" s="4" t="e">
        <f t="array" aca="1" ref="M280" ca="1">_xludf.CONCAT("every ",_xludf.TEXTJOIN(", ", TRUE, IF(H280:L280&lt;&gt;"", H280:L280, "")))</f>
        <v>#NAME?</v>
      </c>
    </row>
    <row r="281" spans="1:13" ht="15.75" customHeight="1" x14ac:dyDescent="0.25">
      <c r="A281" s="2" t="s">
        <v>23</v>
      </c>
      <c r="B281" s="2" t="s">
        <v>37</v>
      </c>
      <c r="C281" s="5" t="s">
        <v>40</v>
      </c>
      <c r="D281" s="3">
        <v>5</v>
      </c>
      <c r="E281" s="2" t="s">
        <v>14</v>
      </c>
      <c r="F281" s="4" t="str">
        <f t="array" ref="F281">INDEX(Tasks!$B:$B, MATCH(C281, Tasks!$A:$A, 0))</f>
        <v>Spray 2in1 on a Paper Towel and wipe down surfaces.</v>
      </c>
      <c r="G281" s="4" t="e">
        <f t="array" aca="1" ref="G281" ca="1">_xludf.LET(
  _xlpm.task,$C281,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81" s="4" t="str">
        <f>IFERROR(IF(FIND("1",$D281),H$1,""),"")</f>
        <v/>
      </c>
      <c r="I281" s="4" t="str">
        <f>IFERROR(IF(FIND("2",$D281),I$1,""),"")</f>
        <v/>
      </c>
      <c r="J281" s="4" t="str">
        <f>IFERROR(IF(FIND("3",$D281),J$1,""),"")</f>
        <v/>
      </c>
      <c r="K281" s="4" t="str">
        <f>IFERROR(IF(FIND("4",$D281),K$1,""),"")</f>
        <v/>
      </c>
      <c r="L281" s="4" t="str">
        <f>IFERROR(IF(FIND("5",$D281),L$1,""),"")</f>
        <v>Fri</v>
      </c>
      <c r="M281" s="4" t="e">
        <f t="array" aca="1" ref="M281" ca="1">_xludf.CONCAT("every ",_xludf.TEXTJOIN(", ", TRUE, IF(H281:L281&lt;&gt;"", H281:L281, "")))</f>
        <v>#NAME?</v>
      </c>
    </row>
    <row r="282" spans="1:13" ht="15.75" customHeight="1" x14ac:dyDescent="0.25">
      <c r="A282" s="2" t="s">
        <v>23</v>
      </c>
      <c r="B282" s="2" t="s">
        <v>569</v>
      </c>
      <c r="C282" s="5" t="s">
        <v>36</v>
      </c>
      <c r="D282" s="3">
        <v>2</v>
      </c>
      <c r="E282" s="2" t="s">
        <v>42</v>
      </c>
      <c r="F282" s="4" t="str">
        <f t="array" ref="F282">INDEX(Tasks!$B:$B, MATCH(C282, Tasks!$A:$A, 0))</f>
        <v>Empty trash being careful of leaking bags.</v>
      </c>
      <c r="G282" s="4" t="e">
        <f t="array" aca="1" ref="G282" ca="1">_xludf.LET(
  _xlpm.task,$C282,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82" s="4" t="str">
        <f>IFERROR(IF(FIND("1",$D282),H$1,""),"")</f>
        <v/>
      </c>
      <c r="I282" s="4" t="str">
        <f>IFERROR(IF(FIND("2",$D282),I$1,""),"")</f>
        <v>Tue</v>
      </c>
      <c r="J282" s="4" t="str">
        <f>IFERROR(IF(FIND("3",$D282),J$1,""),"")</f>
        <v/>
      </c>
      <c r="K282" s="4" t="str">
        <f>IFERROR(IF(FIND("4",$D282),K$1,""),"")</f>
        <v/>
      </c>
      <c r="L282" s="4" t="str">
        <f>IFERROR(IF(FIND("5",$D282),L$1,""),"")</f>
        <v/>
      </c>
      <c r="M282" s="4" t="e">
        <f t="array" aca="1" ref="M282" ca="1">_xludf.CONCAT("every ",_xludf.TEXTJOIN(", ", TRUE, IF(H282:L282&lt;&gt;"", H282:L282, "")))</f>
        <v>#NAME?</v>
      </c>
    </row>
    <row r="283" spans="1:13" ht="15.75" customHeight="1" x14ac:dyDescent="0.25">
      <c r="A283" s="2" t="s">
        <v>23</v>
      </c>
      <c r="B283" s="2" t="s">
        <v>569</v>
      </c>
      <c r="C283" s="2" t="s">
        <v>13</v>
      </c>
      <c r="D283" s="3">
        <v>2</v>
      </c>
      <c r="E283" s="3" t="s">
        <v>42</v>
      </c>
      <c r="F283" s="4" t="str">
        <f t="array" ref="F283">INDEX(Tasks!$B:$B, MATCH(C283, Tasks!$A:$A, 0))</f>
        <v>Use Backpack Vacuum.</v>
      </c>
      <c r="G283" s="4" t="e">
        <f t="array" aca="1" ref="G283" ca="1">_xludf.LET(
  _xlpm.task,$C283,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83" s="4" t="str">
        <f>IFERROR(IF(FIND("1",$D283),H$1,""),"")</f>
        <v/>
      </c>
      <c r="I283" s="4" t="str">
        <f>IFERROR(IF(FIND("2",$D283),I$1,""),"")</f>
        <v>Tue</v>
      </c>
      <c r="J283" s="4" t="str">
        <f>IFERROR(IF(FIND("3",$D283),J$1,""),"")</f>
        <v/>
      </c>
      <c r="K283" s="4" t="str">
        <f>IFERROR(IF(FIND("4",$D283),K$1,""),"")</f>
        <v/>
      </c>
      <c r="L283" s="4" t="str">
        <f>IFERROR(IF(FIND("5",$D283),L$1,""),"")</f>
        <v/>
      </c>
      <c r="M283" s="4" t="e">
        <f t="array" aca="1" ref="M283" ca="1">_xludf.CONCAT("every ",_xludf.TEXTJOIN(", ", TRUE, IF(H283:L283&lt;&gt;"", H283:L283, "")))</f>
        <v>#NAME?</v>
      </c>
    </row>
    <row r="284" spans="1:13" ht="15.75" customHeight="1" x14ac:dyDescent="0.25">
      <c r="A284" s="2" t="s">
        <v>23</v>
      </c>
      <c r="B284" s="2" t="s">
        <v>570</v>
      </c>
      <c r="C284" s="2" t="s">
        <v>29</v>
      </c>
      <c r="D284" s="3">
        <v>3</v>
      </c>
      <c r="E284" s="2" t="s">
        <v>42</v>
      </c>
      <c r="F284" s="4" t="str">
        <f t="array" ref="F284">INDEX(Tasks!$B:$B, MATCH(C284, Tasks!$A:$A, 0))</f>
        <v>Mix 6oz floor cleaner and 3gal hot water in mop bucket.</v>
      </c>
      <c r="G284" s="4" t="e">
        <f t="array" aca="1" ref="G284" ca="1">_xludf.LET(
  _xlpm.task,$C284,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84" s="4" t="str">
        <f>IFERROR(IF(FIND("1",$D284),H$1,""),"")</f>
        <v/>
      </c>
      <c r="I284" s="4" t="str">
        <f>IFERROR(IF(FIND("2",$D284),I$1,""),"")</f>
        <v/>
      </c>
      <c r="J284" s="4" t="str">
        <f>IFERROR(IF(FIND("3",$D284),J$1,""),"")</f>
        <v>Wed</v>
      </c>
      <c r="K284" s="4" t="str">
        <f>IFERROR(IF(FIND("4",$D284),K$1,""),"")</f>
        <v/>
      </c>
      <c r="L284" s="4" t="str">
        <f>IFERROR(IF(FIND("5",$D284),L$1,""),"")</f>
        <v/>
      </c>
      <c r="M284" s="4" t="e">
        <f t="array" aca="1" ref="M284" ca="1">_xludf.CONCAT("every ",_xludf.TEXTJOIN(", ", TRUE, IF(H284:L284&lt;&gt;"", H284:L284, "")))</f>
        <v>#NAME?</v>
      </c>
    </row>
    <row r="285" spans="1:13" ht="15.75" customHeight="1" x14ac:dyDescent="0.25">
      <c r="A285" s="2" t="s">
        <v>23</v>
      </c>
      <c r="B285" s="2" t="s">
        <v>570</v>
      </c>
      <c r="C285" s="5" t="s">
        <v>56</v>
      </c>
      <c r="D285" s="3">
        <v>3</v>
      </c>
      <c r="E285" s="2" t="s">
        <v>42</v>
      </c>
      <c r="F285" s="4" t="str">
        <f t="array" ref="F285">INDEX(Tasks!$B:$B, MATCH(C285, Tasks!$A:$A, 0))</f>
        <v>If used, spray shower with 2in1, scrub with shower brush, rinse with water.</v>
      </c>
      <c r="G285" s="4" t="e">
        <f t="array" aca="1" ref="G285" ca="1">_xludf.LET(
  _xlpm.task,$C285,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85" s="4" t="str">
        <f>IFERROR(IF(FIND("1",$D285),H$1,""),"")</f>
        <v/>
      </c>
      <c r="I285" s="4" t="str">
        <f>IFERROR(IF(FIND("2",$D285),I$1,""),"")</f>
        <v/>
      </c>
      <c r="J285" s="4" t="str">
        <f>IFERROR(IF(FIND("3",$D285),J$1,""),"")</f>
        <v>Wed</v>
      </c>
      <c r="K285" s="4" t="str">
        <f>IFERROR(IF(FIND("4",$D285),K$1,""),"")</f>
        <v/>
      </c>
      <c r="L285" s="4" t="str">
        <f>IFERROR(IF(FIND("5",$D285),L$1,""),"")</f>
        <v/>
      </c>
      <c r="M285" s="4" t="e">
        <f t="array" aca="1" ref="M285" ca="1">_xludf.CONCAT("every ",_xludf.TEXTJOIN(", ", TRUE, IF(H285:L285&lt;&gt;"", H285:L285, "")))</f>
        <v>#NAME?</v>
      </c>
    </row>
    <row r="286" spans="1:13" ht="15.75" customHeight="1" x14ac:dyDescent="0.25">
      <c r="A286" s="2" t="s">
        <v>23</v>
      </c>
      <c r="B286" s="2" t="s">
        <v>570</v>
      </c>
      <c r="C286" s="2" t="s">
        <v>17</v>
      </c>
      <c r="D286" s="3">
        <v>3</v>
      </c>
      <c r="E286" s="2" t="s">
        <v>42</v>
      </c>
      <c r="F286" s="4" t="str">
        <f t="array" ref="F286">INDEX(Tasks!$B:$B, MATCH(C286, Tasks!$A:$A, 0))</f>
        <v>Sweep Floors with broom.</v>
      </c>
      <c r="G286" s="4" t="e">
        <f t="array" aca="1" ref="G286" ca="1">_xludf.LET(
  _xlpm.task,$C286,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86" s="4" t="str">
        <f>IFERROR(IF(FIND("1",$D286),H$1,""),"")</f>
        <v/>
      </c>
      <c r="I286" s="4" t="str">
        <f>IFERROR(IF(FIND("2",$D286),I$1,""),"")</f>
        <v/>
      </c>
      <c r="J286" s="4" t="str">
        <f>IFERROR(IF(FIND("3",$D286),J$1,""),"")</f>
        <v>Wed</v>
      </c>
      <c r="K286" s="4" t="str">
        <f>IFERROR(IF(FIND("4",$D286),K$1,""),"")</f>
        <v/>
      </c>
      <c r="L286" s="4" t="str">
        <f>IFERROR(IF(FIND("5",$D286),L$1,""),"")</f>
        <v/>
      </c>
      <c r="M286" s="4" t="e">
        <f t="array" aca="1" ref="M286" ca="1">_xludf.CONCAT("every ",_xludf.TEXTJOIN(", ", TRUE, IF(H286:L286&lt;&gt;"", H286:L286, "")))</f>
        <v>#NAME?</v>
      </c>
    </row>
    <row r="287" spans="1:13" ht="15.75" customHeight="1" x14ac:dyDescent="0.25">
      <c r="A287" s="2" t="s">
        <v>23</v>
      </c>
      <c r="B287" s="2" t="s">
        <v>571</v>
      </c>
      <c r="C287" s="2" t="s">
        <v>29</v>
      </c>
      <c r="D287" s="3">
        <v>3</v>
      </c>
      <c r="E287" s="2" t="s">
        <v>42</v>
      </c>
      <c r="F287" s="4" t="str">
        <f t="array" ref="F287">INDEX(Tasks!$B:$B, MATCH(C287, Tasks!$A:$A, 0))</f>
        <v>Mix 6oz floor cleaner and 3gal hot water in mop bucket.</v>
      </c>
      <c r="G287" s="4" t="e">
        <f t="array" aca="1" ref="G287" ca="1">_xludf.LET(
  _xlpm.task,$C287,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87" s="4" t="str">
        <f>IFERROR(IF(FIND("1",$D287),H$1,""),"")</f>
        <v/>
      </c>
      <c r="I287" s="4" t="str">
        <f>IFERROR(IF(FIND("2",$D287),I$1,""),"")</f>
        <v/>
      </c>
      <c r="J287" s="4" t="str">
        <f>IFERROR(IF(FIND("3",$D287),J$1,""),"")</f>
        <v>Wed</v>
      </c>
      <c r="K287" s="4" t="str">
        <f>IFERROR(IF(FIND("4",$D287),K$1,""),"")</f>
        <v/>
      </c>
      <c r="L287" s="4" t="str">
        <f>IFERROR(IF(FIND("5",$D287),L$1,""),"")</f>
        <v/>
      </c>
      <c r="M287" s="4" t="e">
        <f t="array" aca="1" ref="M287" ca="1">_xludf.CONCAT("every ",_xludf.TEXTJOIN(", ", TRUE, IF(H287:L287&lt;&gt;"", H287:L287, "")))</f>
        <v>#NAME?</v>
      </c>
    </row>
    <row r="288" spans="1:13" ht="15.75" customHeight="1" x14ac:dyDescent="0.25">
      <c r="A288" s="2" t="s">
        <v>23</v>
      </c>
      <c r="B288" s="2" t="s">
        <v>571</v>
      </c>
      <c r="C288" s="5" t="s">
        <v>56</v>
      </c>
      <c r="D288" s="3">
        <v>3</v>
      </c>
      <c r="E288" s="2" t="s">
        <v>42</v>
      </c>
      <c r="F288" s="4" t="str">
        <f t="array" ref="F288">INDEX(Tasks!$B:$B, MATCH(C288, Tasks!$A:$A, 0))</f>
        <v>If used, spray shower with 2in1, scrub with shower brush, rinse with water.</v>
      </c>
      <c r="G288" s="4" t="e">
        <f t="array" aca="1" ref="G288" ca="1">_xludf.LET(
  _xlpm.task,$C288,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88" s="4" t="str">
        <f>IFERROR(IF(FIND("1",$D288),H$1,""),"")</f>
        <v/>
      </c>
      <c r="I288" s="4" t="str">
        <f>IFERROR(IF(FIND("2",$D288),I$1,""),"")</f>
        <v/>
      </c>
      <c r="J288" s="4" t="str">
        <f>IFERROR(IF(FIND("3",$D288),J$1,""),"")</f>
        <v>Wed</v>
      </c>
      <c r="K288" s="4" t="str">
        <f>IFERROR(IF(FIND("4",$D288),K$1,""),"")</f>
        <v/>
      </c>
      <c r="L288" s="4" t="str">
        <f>IFERROR(IF(FIND("5",$D288),L$1,""),"")</f>
        <v/>
      </c>
      <c r="M288" s="4" t="e">
        <f t="array" aca="1" ref="M288" ca="1">_xludf.CONCAT("every ",_xludf.TEXTJOIN(", ", TRUE, IF(H288:L288&lt;&gt;"", H288:L288, "")))</f>
        <v>#NAME?</v>
      </c>
    </row>
    <row r="289" spans="1:13" ht="15.75" customHeight="1" x14ac:dyDescent="0.25">
      <c r="A289" s="2" t="s">
        <v>23</v>
      </c>
      <c r="B289" s="2" t="s">
        <v>571</v>
      </c>
      <c r="C289" s="2" t="s">
        <v>17</v>
      </c>
      <c r="D289" s="3">
        <v>3</v>
      </c>
      <c r="E289" s="2" t="s">
        <v>42</v>
      </c>
      <c r="F289" s="4" t="str">
        <f t="array" ref="F289">INDEX(Tasks!$B:$B, MATCH(C289, Tasks!$A:$A, 0))</f>
        <v>Sweep Floors with broom.</v>
      </c>
      <c r="G289" s="4" t="e">
        <f t="array" aca="1" ref="G289" ca="1">_xludf.LET(
  _xlpm.task,$C289,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89" s="4" t="str">
        <f>IFERROR(IF(FIND("1",$D289),H$1,""),"")</f>
        <v/>
      </c>
      <c r="I289" s="4" t="str">
        <f>IFERROR(IF(FIND("2",$D289),I$1,""),"")</f>
        <v/>
      </c>
      <c r="J289" s="4" t="str">
        <f>IFERROR(IF(FIND("3",$D289),J$1,""),"")</f>
        <v>Wed</v>
      </c>
      <c r="K289" s="4" t="str">
        <f>IFERROR(IF(FIND("4",$D289),K$1,""),"")</f>
        <v/>
      </c>
      <c r="L289" s="4" t="str">
        <f>IFERROR(IF(FIND("5",$D289),L$1,""),"")</f>
        <v/>
      </c>
      <c r="M289" s="4" t="e">
        <f t="array" aca="1" ref="M289" ca="1">_xludf.CONCAT("every ",_xludf.TEXTJOIN(", ", TRUE, IF(H289:L289&lt;&gt;"", H289:L289, "")))</f>
        <v>#NAME?</v>
      </c>
    </row>
    <row r="290" spans="1:13" ht="15.75" customHeight="1" x14ac:dyDescent="0.25">
      <c r="A290" s="2" t="s">
        <v>23</v>
      </c>
      <c r="B290" s="2" t="s">
        <v>572</v>
      </c>
      <c r="C290" s="2" t="s">
        <v>29</v>
      </c>
      <c r="D290" s="3">
        <v>3</v>
      </c>
      <c r="E290" s="2" t="s">
        <v>42</v>
      </c>
      <c r="F290" s="4" t="str">
        <f t="array" ref="F290">INDEX(Tasks!$B:$B, MATCH(C290, Tasks!$A:$A, 0))</f>
        <v>Mix 6oz floor cleaner and 3gal hot water in mop bucket.</v>
      </c>
      <c r="G290" s="4" t="e">
        <f t="array" aca="1" ref="G290" ca="1">_xludf.LET(
  _xlpm.task,$C290,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90" s="4" t="str">
        <f>IFERROR(IF(FIND("1",$D290),H$1,""),"")</f>
        <v/>
      </c>
      <c r="I290" s="4" t="str">
        <f>IFERROR(IF(FIND("2",$D290),I$1,""),"")</f>
        <v/>
      </c>
      <c r="J290" s="4" t="str">
        <f>IFERROR(IF(FIND("3",$D290),J$1,""),"")</f>
        <v>Wed</v>
      </c>
      <c r="K290" s="4" t="str">
        <f>IFERROR(IF(FIND("4",$D290),K$1,""),"")</f>
        <v/>
      </c>
      <c r="L290" s="4" t="str">
        <f>IFERROR(IF(FIND("5",$D290),L$1,""),"")</f>
        <v/>
      </c>
      <c r="M290" s="4" t="e">
        <f t="array" aca="1" ref="M290" ca="1">_xludf.CONCAT("every ",_xludf.TEXTJOIN(", ", TRUE, IF(H290:L290&lt;&gt;"", H290:L290, "")))</f>
        <v>#NAME?</v>
      </c>
    </row>
    <row r="291" spans="1:13" ht="15.75" customHeight="1" x14ac:dyDescent="0.25">
      <c r="A291" s="2" t="s">
        <v>23</v>
      </c>
      <c r="B291" s="2" t="s">
        <v>572</v>
      </c>
      <c r="C291" s="5" t="s">
        <v>56</v>
      </c>
      <c r="D291" s="3">
        <v>3</v>
      </c>
      <c r="E291" s="2" t="s">
        <v>42</v>
      </c>
      <c r="F291" s="4" t="str">
        <f t="array" ref="F291">INDEX(Tasks!$B:$B, MATCH(C291, Tasks!$A:$A, 0))</f>
        <v>If used, spray shower with 2in1, scrub with shower brush, rinse with water.</v>
      </c>
      <c r="G291" s="4" t="e">
        <f t="array" aca="1" ref="G291" ca="1">_xludf.LET(
  _xlpm.task,$C291,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91" s="4" t="str">
        <f>IFERROR(IF(FIND("1",$D291),H$1,""),"")</f>
        <v/>
      </c>
      <c r="I291" s="4" t="str">
        <f>IFERROR(IF(FIND("2",$D291),I$1,""),"")</f>
        <v/>
      </c>
      <c r="J291" s="4" t="str">
        <f>IFERROR(IF(FIND("3",$D291),J$1,""),"")</f>
        <v>Wed</v>
      </c>
      <c r="K291" s="4" t="str">
        <f>IFERROR(IF(FIND("4",$D291),K$1,""),"")</f>
        <v/>
      </c>
      <c r="L291" s="4" t="str">
        <f>IFERROR(IF(FIND("5",$D291),L$1,""),"")</f>
        <v/>
      </c>
      <c r="M291" s="4" t="e">
        <f t="array" aca="1" ref="M291" ca="1">_xludf.CONCAT("every ",_xludf.TEXTJOIN(", ", TRUE, IF(H291:L291&lt;&gt;"", H291:L291, "")))</f>
        <v>#NAME?</v>
      </c>
    </row>
    <row r="292" spans="1:13" ht="15.75" customHeight="1" x14ac:dyDescent="0.25">
      <c r="A292" s="2" t="s">
        <v>23</v>
      </c>
      <c r="B292" s="2" t="s">
        <v>572</v>
      </c>
      <c r="C292" s="2" t="s">
        <v>17</v>
      </c>
      <c r="D292" s="3">
        <v>3</v>
      </c>
      <c r="E292" s="2" t="s">
        <v>42</v>
      </c>
      <c r="F292" s="4" t="str">
        <f t="array" ref="F292">INDEX(Tasks!$B:$B, MATCH(C292, Tasks!$A:$A, 0))</f>
        <v>Sweep Floors with broom.</v>
      </c>
      <c r="G292" s="4" t="e">
        <f t="array" aca="1" ref="G292" ca="1">_xludf.LET(
  _xlpm.task,$C292,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92" s="4" t="str">
        <f>IFERROR(IF(FIND("1",$D292),H$1,""),"")</f>
        <v/>
      </c>
      <c r="I292" s="4" t="str">
        <f>IFERROR(IF(FIND("2",$D292),I$1,""),"")</f>
        <v/>
      </c>
      <c r="J292" s="4" t="str">
        <f>IFERROR(IF(FIND("3",$D292),J$1,""),"")</f>
        <v>Wed</v>
      </c>
      <c r="K292" s="4" t="str">
        <f>IFERROR(IF(FIND("4",$D292),K$1,""),"")</f>
        <v/>
      </c>
      <c r="L292" s="4" t="str">
        <f>IFERROR(IF(FIND("5",$D292),L$1,""),"")</f>
        <v/>
      </c>
      <c r="M292" s="4" t="e">
        <f t="array" aca="1" ref="M292" ca="1">_xludf.CONCAT("every ",_xludf.TEXTJOIN(", ", TRUE, IF(H292:L292&lt;&gt;"", H292:L292, "")))</f>
        <v>#NAME?</v>
      </c>
    </row>
    <row r="293" spans="1:13" ht="15.75" customHeight="1" x14ac:dyDescent="0.25">
      <c r="A293" s="2" t="s">
        <v>23</v>
      </c>
      <c r="B293" s="2" t="s">
        <v>573</v>
      </c>
      <c r="C293" s="2" t="s">
        <v>29</v>
      </c>
      <c r="D293" s="3">
        <v>3</v>
      </c>
      <c r="E293" s="2" t="s">
        <v>42</v>
      </c>
      <c r="F293" s="4" t="str">
        <f t="array" ref="F293">INDEX(Tasks!$B:$B, MATCH(C293, Tasks!$A:$A, 0))</f>
        <v>Mix 6oz floor cleaner and 3gal hot water in mop bucket.</v>
      </c>
      <c r="G293" s="4" t="e">
        <f t="array" aca="1" ref="G293" ca="1">_xludf.LET(
  _xlpm.task,$C293,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93" s="4" t="str">
        <f>IFERROR(IF(FIND("1",$D293),H$1,""),"")</f>
        <v/>
      </c>
      <c r="I293" s="4" t="str">
        <f>IFERROR(IF(FIND("2",$D293),I$1,""),"")</f>
        <v/>
      </c>
      <c r="J293" s="4" t="str">
        <f>IFERROR(IF(FIND("3",$D293),J$1,""),"")</f>
        <v>Wed</v>
      </c>
      <c r="K293" s="4" t="str">
        <f>IFERROR(IF(FIND("4",$D293),K$1,""),"")</f>
        <v/>
      </c>
      <c r="L293" s="4" t="str">
        <f>IFERROR(IF(FIND("5",$D293),L$1,""),"")</f>
        <v/>
      </c>
      <c r="M293" s="4" t="e">
        <f t="array" aca="1" ref="M293" ca="1">_xludf.CONCAT("every ",_xludf.TEXTJOIN(", ", TRUE, IF(H293:L293&lt;&gt;"", H293:L293, "")))</f>
        <v>#NAME?</v>
      </c>
    </row>
    <row r="294" spans="1:13" ht="15.75" customHeight="1" x14ac:dyDescent="0.25">
      <c r="A294" s="2" t="s">
        <v>23</v>
      </c>
      <c r="B294" s="2" t="s">
        <v>573</v>
      </c>
      <c r="C294" s="5" t="s">
        <v>56</v>
      </c>
      <c r="D294" s="3">
        <v>3</v>
      </c>
      <c r="E294" s="2" t="s">
        <v>42</v>
      </c>
      <c r="F294" s="4" t="str">
        <f t="array" ref="F294">INDEX(Tasks!$B:$B, MATCH(C294, Tasks!$A:$A, 0))</f>
        <v>If used, spray shower with 2in1, scrub with shower brush, rinse with water.</v>
      </c>
      <c r="G294" s="4" t="e">
        <f t="array" aca="1" ref="G294" ca="1">_xludf.LET(
  _xlpm.task,$C294,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94" s="4" t="str">
        <f>IFERROR(IF(FIND("1",$D294),H$1,""),"")</f>
        <v/>
      </c>
      <c r="I294" s="4" t="str">
        <f>IFERROR(IF(FIND("2",$D294),I$1,""),"")</f>
        <v/>
      </c>
      <c r="J294" s="4" t="str">
        <f>IFERROR(IF(FIND("3",$D294),J$1,""),"")</f>
        <v>Wed</v>
      </c>
      <c r="K294" s="4" t="str">
        <f>IFERROR(IF(FIND("4",$D294),K$1,""),"")</f>
        <v/>
      </c>
      <c r="L294" s="4" t="str">
        <f>IFERROR(IF(FIND("5",$D294),L$1,""),"")</f>
        <v/>
      </c>
      <c r="M294" s="4" t="e">
        <f t="array" aca="1" ref="M294" ca="1">_xludf.CONCAT("every ",_xludf.TEXTJOIN(", ", TRUE, IF(H294:L294&lt;&gt;"", H294:L294, "")))</f>
        <v>#NAME?</v>
      </c>
    </row>
    <row r="295" spans="1:13" ht="15.75" customHeight="1" x14ac:dyDescent="0.25">
      <c r="A295" s="2" t="s">
        <v>23</v>
      </c>
      <c r="B295" s="2" t="s">
        <v>573</v>
      </c>
      <c r="C295" s="2" t="s">
        <v>17</v>
      </c>
      <c r="D295" s="3">
        <v>3</v>
      </c>
      <c r="E295" s="2" t="s">
        <v>42</v>
      </c>
      <c r="F295" s="4" t="str">
        <f t="array" ref="F295">INDEX(Tasks!$B:$B, MATCH(C295, Tasks!$A:$A, 0))</f>
        <v>Sweep Floors with broom.</v>
      </c>
      <c r="G295" s="4" t="e">
        <f t="array" aca="1" ref="G295" ca="1">_xludf.LET(
  _xlpm.task,$C295,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95" s="4" t="str">
        <f>IFERROR(IF(FIND("1",$D295),H$1,""),"")</f>
        <v/>
      </c>
      <c r="I295" s="4" t="str">
        <f>IFERROR(IF(FIND("2",$D295),I$1,""),"")</f>
        <v/>
      </c>
      <c r="J295" s="4" t="str">
        <f>IFERROR(IF(FIND("3",$D295),J$1,""),"")</f>
        <v>Wed</v>
      </c>
      <c r="K295" s="4" t="str">
        <f>IFERROR(IF(FIND("4",$D295),K$1,""),"")</f>
        <v/>
      </c>
      <c r="L295" s="4" t="str">
        <f>IFERROR(IF(FIND("5",$D295),L$1,""),"")</f>
        <v/>
      </c>
      <c r="M295" s="4" t="e">
        <f t="array" aca="1" ref="M295" ca="1">_xludf.CONCAT("every ",_xludf.TEXTJOIN(", ", TRUE, IF(H295:L295&lt;&gt;"", H295:L295, "")))</f>
        <v>#NAME?</v>
      </c>
    </row>
    <row r="296" spans="1:13" ht="15.75" customHeight="1" x14ac:dyDescent="0.25">
      <c r="A296" s="2" t="s">
        <v>23</v>
      </c>
      <c r="B296" s="2" t="s">
        <v>574</v>
      </c>
      <c r="C296" s="5" t="s">
        <v>24</v>
      </c>
      <c r="D296" s="3">
        <v>2</v>
      </c>
      <c r="E296" s="2" t="s">
        <v>42</v>
      </c>
      <c r="F296" s="4" t="str">
        <f t="array" ref="F296">INDEX(Tasks!$B:$B, MATCH(C296, Tasks!$A:$A, 0))</f>
        <v>Empty trash being careful of leaking bags.</v>
      </c>
      <c r="G296" s="4" t="e">
        <f t="array" aca="1" ref="G296" ca="1">_xludf.LET(
  _xlpm.task,$C296,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96" s="4" t="str">
        <f>IFERROR(IF(FIND("1",$D296),H$1,""),"")</f>
        <v/>
      </c>
      <c r="I296" s="4" t="str">
        <f>IFERROR(IF(FIND("2",$D296),I$1,""),"")</f>
        <v>Tue</v>
      </c>
      <c r="J296" s="4" t="str">
        <f>IFERROR(IF(FIND("3",$D296),J$1,""),"")</f>
        <v/>
      </c>
      <c r="K296" s="4" t="str">
        <f>IFERROR(IF(FIND("4",$D296),K$1,""),"")</f>
        <v/>
      </c>
      <c r="L296" s="4" t="str">
        <f>IFERROR(IF(FIND("5",$D296),L$1,""),"")</f>
        <v/>
      </c>
      <c r="M296" s="4" t="e">
        <f t="array" aca="1" ref="M296" ca="1">_xludf.CONCAT("every ",_xludf.TEXTJOIN(", ", TRUE, IF(H296:L296&lt;&gt;"", H296:L296, "")))</f>
        <v>#NAME?</v>
      </c>
    </row>
    <row r="297" spans="1:13" ht="15.75" customHeight="1" x14ac:dyDescent="0.25">
      <c r="A297" s="2" t="s">
        <v>23</v>
      </c>
      <c r="B297" s="2" t="s">
        <v>574</v>
      </c>
      <c r="C297" s="2" t="s">
        <v>13</v>
      </c>
      <c r="D297" s="3">
        <v>2</v>
      </c>
      <c r="E297" s="3" t="s">
        <v>42</v>
      </c>
      <c r="F297" s="4" t="str">
        <f t="array" ref="F297">INDEX(Tasks!$B:$B, MATCH(C297, Tasks!$A:$A, 0))</f>
        <v>Use Backpack Vacuum.</v>
      </c>
      <c r="G297" s="4" t="e">
        <f t="array" aca="1" ref="G297" ca="1">_xludf.LET(
  _xlpm.task,$C297,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97" s="4" t="str">
        <f>IFERROR(IF(FIND("1",$D297),H$1,""),"")</f>
        <v/>
      </c>
      <c r="I297" s="4" t="str">
        <f>IFERROR(IF(FIND("2",$D297),I$1,""),"")</f>
        <v>Tue</v>
      </c>
      <c r="J297" s="4" t="str">
        <f>IFERROR(IF(FIND("3",$D297),J$1,""),"")</f>
        <v/>
      </c>
      <c r="K297" s="4" t="str">
        <f>IFERROR(IF(FIND("4",$D297),K$1,""),"")</f>
        <v/>
      </c>
      <c r="L297" s="4" t="str">
        <f>IFERROR(IF(FIND("5",$D297),L$1,""),"")</f>
        <v/>
      </c>
      <c r="M297" s="4" t="e">
        <f t="array" aca="1" ref="M297" ca="1">_xludf.CONCAT("every ",_xludf.TEXTJOIN(", ", TRUE, IF(H297:L297&lt;&gt;"", H297:L297, "")))</f>
        <v>#NAME?</v>
      </c>
    </row>
    <row r="298" spans="1:13" ht="15.75" customHeight="1" x14ac:dyDescent="0.25">
      <c r="A298" s="2" t="s">
        <v>23</v>
      </c>
      <c r="B298" s="2" t="s">
        <v>574</v>
      </c>
      <c r="C298" s="5" t="s">
        <v>45</v>
      </c>
      <c r="D298" s="3">
        <v>2</v>
      </c>
      <c r="E298" s="2" t="s">
        <v>42</v>
      </c>
      <c r="F298" s="4" t="str">
        <f t="array" ref="F298">INDEX(Tasks!$B:$B, MATCH(C298, Tasks!$A:$A, 0))</f>
        <v>Spray with 2in1, wipe with Paper Towel.</v>
      </c>
      <c r="G298" s="4" t="e">
        <f t="array" aca="1" ref="G298" ca="1">_xludf.LET(
  _xlpm.task,$C298,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98" s="4" t="str">
        <f>IFERROR(IF(FIND("1",$D298),H$1,""),"")</f>
        <v/>
      </c>
      <c r="I298" s="4" t="str">
        <f>IFERROR(IF(FIND("2",$D298),I$1,""),"")</f>
        <v>Tue</v>
      </c>
      <c r="J298" s="4" t="str">
        <f>IFERROR(IF(FIND("3",$D298),J$1,""),"")</f>
        <v/>
      </c>
      <c r="K298" s="4" t="str">
        <f>IFERROR(IF(FIND("4",$D298),K$1,""),"")</f>
        <v/>
      </c>
      <c r="L298" s="4" t="str">
        <f>IFERROR(IF(FIND("5",$D298),L$1,""),"")</f>
        <v/>
      </c>
      <c r="M298" s="4" t="e">
        <f t="array" aca="1" ref="M298" ca="1">_xludf.CONCAT("every ",_xludf.TEXTJOIN(", ", TRUE, IF(H298:L298&lt;&gt;"", H298:L298, "")))</f>
        <v>#NAME?</v>
      </c>
    </row>
    <row r="299" spans="1:13" ht="15.75" customHeight="1" x14ac:dyDescent="0.25">
      <c r="A299" s="2" t="s">
        <v>23</v>
      </c>
      <c r="B299" s="2" t="s">
        <v>574</v>
      </c>
      <c r="C299" s="5" t="s">
        <v>25</v>
      </c>
      <c r="D299" s="3">
        <v>2</v>
      </c>
      <c r="E299" s="2" t="s">
        <v>42</v>
      </c>
      <c r="F299" s="4" t="str">
        <f t="array" ref="F299">INDEX(Tasks!$B:$B, MATCH(C299, Tasks!$A:$A, 0))</f>
        <v>Spray with 2in1, wipe with Paper Towel.</v>
      </c>
      <c r="G299" s="4" t="e">
        <f t="array" aca="1" ref="G299" ca="1">_xludf.LET(
  _xlpm.task,$C299,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299" s="4" t="str">
        <f>IFERROR(IF(FIND("1",$D299),H$1,""),"")</f>
        <v/>
      </c>
      <c r="I299" s="4" t="str">
        <f>IFERROR(IF(FIND("2",$D299),I$1,""),"")</f>
        <v>Tue</v>
      </c>
      <c r="J299" s="4" t="str">
        <f>IFERROR(IF(FIND("3",$D299),J$1,""),"")</f>
        <v/>
      </c>
      <c r="K299" s="4" t="str">
        <f>IFERROR(IF(FIND("4",$D299),K$1,""),"")</f>
        <v/>
      </c>
      <c r="L299" s="4" t="str">
        <f>IFERROR(IF(FIND("5",$D299),L$1,""),"")</f>
        <v/>
      </c>
      <c r="M299" s="4" t="e">
        <f t="array" aca="1" ref="M299" ca="1">_xludf.CONCAT("every ",_xludf.TEXTJOIN(", ", TRUE, IF(H299:L299&lt;&gt;"", H299:L299, "")))</f>
        <v>#NAME?</v>
      </c>
    </row>
    <row r="300" spans="1:13" ht="15.75" customHeight="1" x14ac:dyDescent="0.25">
      <c r="A300" s="2" t="s">
        <v>23</v>
      </c>
      <c r="B300" s="2" t="s">
        <v>41</v>
      </c>
      <c r="C300" s="2" t="s">
        <v>13</v>
      </c>
      <c r="D300" s="3">
        <v>5</v>
      </c>
      <c r="E300" s="2" t="s">
        <v>14</v>
      </c>
      <c r="F300" s="4" t="str">
        <f t="array" ref="F300">INDEX(Tasks!$B:$B, MATCH(C300, Tasks!$A:$A, 0))</f>
        <v>Use Backpack Vacuum.</v>
      </c>
      <c r="G300" s="4" t="e">
        <f t="array" aca="1" ref="G300" ca="1">_xludf.LET(
  _xlpm.task,$C300,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300" s="4" t="str">
        <f>IFERROR(IF(FIND("1",$D300),H$1,""),"")</f>
        <v/>
      </c>
      <c r="I300" s="4" t="str">
        <f>IFERROR(IF(FIND("2",$D300),I$1,""),"")</f>
        <v/>
      </c>
      <c r="J300" s="4" t="str">
        <f>IFERROR(IF(FIND("3",$D300),J$1,""),"")</f>
        <v/>
      </c>
      <c r="K300" s="4" t="str">
        <f>IFERROR(IF(FIND("4",$D300),K$1,""),"")</f>
        <v/>
      </c>
      <c r="L300" s="4" t="str">
        <f>IFERROR(IF(FIND("5",$D300),L$1,""),"")</f>
        <v>Fri</v>
      </c>
      <c r="M300" s="4" t="e">
        <f t="array" aca="1" ref="M300" ca="1">_xludf.CONCAT("every ",_xludf.TEXTJOIN(", ", TRUE, IF(H300:L300&lt;&gt;"", H300:L300, "")))</f>
        <v>#NAME?</v>
      </c>
    </row>
    <row r="301" spans="1:13" ht="15.75" customHeight="1" x14ac:dyDescent="0.25">
      <c r="A301" s="2" t="s">
        <v>12</v>
      </c>
      <c r="B301" s="2" t="s">
        <v>41</v>
      </c>
      <c r="C301" s="2" t="s">
        <v>13</v>
      </c>
      <c r="D301" s="3">
        <v>3</v>
      </c>
      <c r="E301" s="2" t="s">
        <v>42</v>
      </c>
      <c r="F301" s="4" t="str">
        <f t="array" ref="F301">INDEX(Tasks!$B:$B, MATCH(C301, Tasks!$A:$A, 0))</f>
        <v>Use Backpack Vacuum.</v>
      </c>
      <c r="G301" s="4" t="e">
        <f t="array" aca="1" ref="G301" ca="1">_xludf.LET(
  _xlpm.task,$C301,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301" s="4" t="str">
        <f>IFERROR(IF(FIND("1",$D301),H$1,""),"")</f>
        <v/>
      </c>
      <c r="I301" s="4" t="str">
        <f>IFERROR(IF(FIND("2",$D301),I$1,""),"")</f>
        <v/>
      </c>
      <c r="J301" s="4" t="str">
        <f>IFERROR(IF(FIND("3",$D301),J$1,""),"")</f>
        <v>Wed</v>
      </c>
      <c r="K301" s="4" t="str">
        <f>IFERROR(IF(FIND("4",$D301),K$1,""),"")</f>
        <v/>
      </c>
      <c r="L301" s="4" t="str">
        <f>IFERROR(IF(FIND("5",$D301),L$1,""),"")</f>
        <v/>
      </c>
      <c r="M301" s="4" t="e">
        <f t="array" aca="1" ref="M301" ca="1">_xludf.CONCAT("every ",_xludf.TEXTJOIN(", ", TRUE, IF(H301:L301&lt;&gt;"", H301:L301, "")))</f>
        <v>#NAME?</v>
      </c>
    </row>
    <row r="302" spans="1:13" ht="15.75" customHeight="1" x14ac:dyDescent="0.25">
      <c r="A302" s="2" t="s">
        <v>12</v>
      </c>
      <c r="B302" s="2" t="s">
        <v>21</v>
      </c>
      <c r="C302" s="2" t="s">
        <v>22</v>
      </c>
      <c r="D302" s="3">
        <v>12345</v>
      </c>
      <c r="E302" s="2" t="s">
        <v>14</v>
      </c>
      <c r="F302" s="4" t="str">
        <f t="array" ref="F302">INDEX(Tasks!$B:$B, MATCH(C302, Tasks!$A:$A, 0))</f>
        <v>Use handheld Vacuum from janitorial closet.</v>
      </c>
      <c r="G302" s="4" t="e">
        <f t="array" aca="1" ref="G302" ca="1">_xludf.LET(
  _xlpm.task,$C302,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302" s="4" t="str">
        <f>IFERROR(IF(FIND("1",$D302),H$1,""),"")</f>
        <v>Mon</v>
      </c>
      <c r="I302" s="4" t="str">
        <f>IFERROR(IF(FIND("2",$D302),I$1,""),"")</f>
        <v>Tue</v>
      </c>
      <c r="J302" s="4" t="str">
        <f>IFERROR(IF(FIND("3",$D302),J$1,""),"")</f>
        <v>Wed</v>
      </c>
      <c r="K302" s="4" t="str">
        <f>IFERROR(IF(FIND("4",$D302),K$1,""),"")</f>
        <v>Thu</v>
      </c>
      <c r="L302" s="4" t="str">
        <f>IFERROR(IF(FIND("5",$D302),L$1,""),"")</f>
        <v>Fri</v>
      </c>
      <c r="M302" s="4" t="e">
        <f t="array" aca="1" ref="M302" ca="1">_xludf.CONCAT("every ",_xludf.TEXTJOIN(", ", TRUE, IF(H302:L302&lt;&gt;"", H302:L302, "")))</f>
        <v>#NAME?</v>
      </c>
    </row>
    <row r="303" spans="1:13" ht="15.75" customHeight="1" x14ac:dyDescent="0.25">
      <c r="A303" s="2" t="s">
        <v>23</v>
      </c>
      <c r="B303" s="2" t="s">
        <v>576</v>
      </c>
      <c r="C303" s="5" t="s">
        <v>36</v>
      </c>
      <c r="D303" s="3">
        <v>3</v>
      </c>
      <c r="E303" s="2" t="s">
        <v>42</v>
      </c>
      <c r="F303" s="4" t="str">
        <f t="array" ref="F303">INDEX(Tasks!$B:$B, MATCH(C303, Tasks!$A:$A, 0))</f>
        <v>Empty trash being careful of leaking bags.</v>
      </c>
      <c r="G303" s="4" t="e">
        <f t="array" aca="1" ref="G303" ca="1">_xludf.LET(
  _xlpm.task,$C303,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303" s="4" t="str">
        <f>IFERROR(IF(FIND("1",$D303),H$1,""),"")</f>
        <v/>
      </c>
      <c r="I303" s="4" t="str">
        <f>IFERROR(IF(FIND("2",$D303),I$1,""),"")</f>
        <v/>
      </c>
      <c r="J303" s="4" t="str">
        <f>IFERROR(IF(FIND("3",$D303),J$1,""),"")</f>
        <v>Wed</v>
      </c>
      <c r="K303" s="4" t="str">
        <f>IFERROR(IF(FIND("4",$D303),K$1,""),"")</f>
        <v/>
      </c>
      <c r="L303" s="4" t="str">
        <f>IFERROR(IF(FIND("5",$D303),L$1,""),"")</f>
        <v/>
      </c>
      <c r="M303" s="4" t="e">
        <f t="array" aca="1" ref="M303" ca="1">_xludf.CONCAT("every ",_xludf.TEXTJOIN(", ", TRUE, IF(H303:L303&lt;&gt;"", H303:L303, "")))</f>
        <v>#NAME?</v>
      </c>
    </row>
    <row r="304" spans="1:13" ht="15.75" customHeight="1" x14ac:dyDescent="0.25">
      <c r="A304" s="2" t="s">
        <v>23</v>
      </c>
      <c r="B304" s="2" t="s">
        <v>576</v>
      </c>
      <c r="C304" s="2" t="s">
        <v>13</v>
      </c>
      <c r="D304" s="3">
        <v>3</v>
      </c>
      <c r="E304" s="3" t="s">
        <v>42</v>
      </c>
      <c r="F304" s="4" t="str">
        <f t="array" ref="F304">INDEX(Tasks!$B:$B, MATCH(C304, Tasks!$A:$A, 0))</f>
        <v>Use Backpack Vacuum.</v>
      </c>
      <c r="G304" s="4" t="e">
        <f t="array" aca="1" ref="G304" ca="1">_xludf.LET(
  _xlpm.task,$C304,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304" s="4" t="str">
        <f>IFERROR(IF(FIND("1",$D304),H$1,""),"")</f>
        <v/>
      </c>
      <c r="I304" s="4" t="str">
        <f>IFERROR(IF(FIND("2",$D304),I$1,""),"")</f>
        <v/>
      </c>
      <c r="J304" s="4" t="str">
        <f>IFERROR(IF(FIND("3",$D304),J$1,""),"")</f>
        <v>Wed</v>
      </c>
      <c r="K304" s="4" t="str">
        <f>IFERROR(IF(FIND("4",$D304),K$1,""),"")</f>
        <v/>
      </c>
      <c r="L304" s="4" t="str">
        <f>IFERROR(IF(FIND("5",$D304),L$1,""),"")</f>
        <v/>
      </c>
      <c r="M304" s="4" t="e">
        <f t="array" aca="1" ref="M304" ca="1">_xludf.CONCAT("every ",_xludf.TEXTJOIN(", ", TRUE, IF(H304:L304&lt;&gt;"", H304:L304, "")))</f>
        <v>#NAME?</v>
      </c>
    </row>
    <row r="305" spans="1:13" ht="15.75" customHeight="1" x14ac:dyDescent="0.25">
      <c r="A305" s="2" t="s">
        <v>23</v>
      </c>
      <c r="B305" s="2" t="s">
        <v>575</v>
      </c>
      <c r="C305" s="5" t="s">
        <v>36</v>
      </c>
      <c r="D305" s="3">
        <v>2</v>
      </c>
      <c r="E305" s="2" t="s">
        <v>42</v>
      </c>
      <c r="F305" s="4" t="str">
        <f t="array" ref="F305">INDEX(Tasks!$B:$B, MATCH(C305, Tasks!$A:$A, 0))</f>
        <v>Empty trash being careful of leaking bags.</v>
      </c>
      <c r="G305" s="4" t="e">
        <f t="array" aca="1" ref="G305" ca="1">_xludf.LET(
  _xlpm.task,$C305,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305" s="4" t="str">
        <f>IFERROR(IF(FIND("1",$D305),H$1,""),"")</f>
        <v/>
      </c>
      <c r="I305" s="4" t="str">
        <f>IFERROR(IF(FIND("2",$D305),I$1,""),"")</f>
        <v>Tue</v>
      </c>
      <c r="J305" s="4" t="str">
        <f>IFERROR(IF(FIND("3",$D305),J$1,""),"")</f>
        <v/>
      </c>
      <c r="K305" s="4" t="str">
        <f>IFERROR(IF(FIND("4",$D305),K$1,""),"")</f>
        <v/>
      </c>
      <c r="L305" s="4" t="str">
        <f>IFERROR(IF(FIND("5",$D305),L$1,""),"")</f>
        <v/>
      </c>
      <c r="M305" s="4" t="e">
        <f t="array" aca="1" ref="M305" ca="1">_xludf.CONCAT("every ",_xludf.TEXTJOIN(", ", TRUE, IF(H305:L305&lt;&gt;"", H305:L305, "")))</f>
        <v>#NAME?</v>
      </c>
    </row>
    <row r="306" spans="1:13" ht="15.75" customHeight="1" x14ac:dyDescent="0.25">
      <c r="A306" s="2" t="s">
        <v>23</v>
      </c>
      <c r="B306" s="2" t="s">
        <v>575</v>
      </c>
      <c r="C306" s="2" t="s">
        <v>13</v>
      </c>
      <c r="D306" s="3">
        <v>2</v>
      </c>
      <c r="E306" s="3" t="s">
        <v>42</v>
      </c>
      <c r="F306" s="4" t="str">
        <f t="array" ref="F306">INDEX(Tasks!$B:$B, MATCH(C306, Tasks!$A:$A, 0))</f>
        <v>Use Backpack Vacuum.</v>
      </c>
      <c r="G306" s="4" t="e">
        <f t="array" aca="1" ref="G306" ca="1">_xludf.LET(
  _xlpm.task,$C306,
  _xlpm.r, _xludf.XMATCH(_xlpm.task, Tasks!$A:$A, 0),
  _xlpm.equip, Tasks!$C$1:$Y$1,
  _xlpm.flags, INDEX(Tasks!$C:$Y, _xlpm.r, 0),
  _xlpm.needed, _xlws.FILTER(_xlpm.equip, LOWER(_xlpm.flags)="x"),
  IFERROR("Equipment: " &amp; _xludf.TEXTJOIN(", ", TRUE, _xlpm.needed), "Equipment: ")
)</f>
        <v>#NAME?</v>
      </c>
      <c r="H306" s="4" t="str">
        <f>IFERROR(IF(FIND("1",$D306),H$1,""),"")</f>
        <v/>
      </c>
      <c r="I306" s="4" t="str">
        <f>IFERROR(IF(FIND("2",$D306),I$1,""),"")</f>
        <v>Tue</v>
      </c>
      <c r="J306" s="4" t="str">
        <f>IFERROR(IF(FIND("3",$D306),J$1,""),"")</f>
        <v/>
      </c>
      <c r="K306" s="4" t="str">
        <f>IFERROR(IF(FIND("4",$D306),K$1,""),"")</f>
        <v/>
      </c>
      <c r="L306" s="4" t="str">
        <f>IFERROR(IF(FIND("5",$D306),L$1,""),"")</f>
        <v/>
      </c>
      <c r="M306" s="4" t="e">
        <f t="array" aca="1" ref="M306" ca="1">_xludf.CONCAT("every ",_xludf.TEXTJOIN(", ", TRUE, IF(H306:L306&lt;&gt;"", H306:L306, "")))</f>
        <v>#NAME?</v>
      </c>
    </row>
    <row r="307" spans="1:13" ht="15.75" customHeight="1" x14ac:dyDescent="0.25">
      <c r="A307" s="3"/>
      <c r="B307" s="3"/>
      <c r="C307" s="3"/>
      <c r="D307" s="3"/>
      <c r="E307" s="3"/>
    </row>
    <row r="308" spans="1:13" ht="15.75" customHeight="1" x14ac:dyDescent="0.25">
      <c r="A308" s="3"/>
      <c r="B308" s="3"/>
      <c r="C308" s="3"/>
      <c r="D308" s="3"/>
      <c r="E308" s="3"/>
    </row>
    <row r="309" spans="1:13" ht="15.75" customHeight="1" x14ac:dyDescent="0.25">
      <c r="A309" s="3"/>
      <c r="B309" s="3"/>
      <c r="C309" s="3"/>
      <c r="D309" s="3"/>
      <c r="E309" s="3"/>
    </row>
    <row r="310" spans="1:13" ht="15.75" customHeight="1" x14ac:dyDescent="0.25">
      <c r="A310" s="3"/>
      <c r="B310" s="3"/>
      <c r="C310" s="3"/>
      <c r="D310" s="3"/>
      <c r="E310" s="3"/>
    </row>
    <row r="311" spans="1:13" ht="15.75" customHeight="1" x14ac:dyDescent="0.25">
      <c r="A311" s="3"/>
      <c r="B311" s="3"/>
      <c r="C311" s="3"/>
      <c r="D311" s="3"/>
      <c r="E311" s="3"/>
    </row>
    <row r="312" spans="1:13" ht="15.75" customHeight="1" x14ac:dyDescent="0.25">
      <c r="A312" s="3"/>
      <c r="B312" s="3"/>
      <c r="C312" s="3"/>
      <c r="D312" s="3"/>
      <c r="E312" s="3"/>
    </row>
    <row r="313" spans="1:13" ht="15.75" customHeight="1" x14ac:dyDescent="0.25">
      <c r="A313" s="3"/>
      <c r="B313" s="3"/>
      <c r="C313" s="3"/>
      <c r="D313" s="3"/>
      <c r="E313" s="3"/>
    </row>
    <row r="314" spans="1:13" ht="15.75" customHeight="1" x14ac:dyDescent="0.25">
      <c r="A314" s="3"/>
      <c r="B314" s="3"/>
      <c r="C314" s="3"/>
      <c r="D314" s="3"/>
      <c r="E314" s="3"/>
    </row>
    <row r="315" spans="1:13" ht="15.75" customHeight="1" x14ac:dyDescent="0.25">
      <c r="A315" s="3"/>
      <c r="B315" s="3"/>
      <c r="C315" s="3"/>
      <c r="D315" s="3"/>
      <c r="E315" s="3"/>
    </row>
    <row r="316" spans="1:13" ht="15.75" customHeight="1" x14ac:dyDescent="0.25">
      <c r="A316" s="3"/>
      <c r="B316" s="3"/>
      <c r="C316" s="3"/>
      <c r="D316" s="3"/>
      <c r="E316" s="3"/>
    </row>
    <row r="317" spans="1:13" ht="15.75" customHeight="1" x14ac:dyDescent="0.25">
      <c r="A317" s="3"/>
      <c r="B317" s="3"/>
      <c r="C317" s="3"/>
      <c r="D317" s="3"/>
      <c r="E317" s="3"/>
    </row>
    <row r="318" spans="1:13" ht="15.75" customHeight="1" x14ac:dyDescent="0.25">
      <c r="A318" s="3"/>
      <c r="B318" s="3"/>
      <c r="C318" s="3"/>
      <c r="D318" s="3"/>
      <c r="E318" s="3"/>
    </row>
    <row r="319" spans="1:13" ht="15.75" customHeight="1" x14ac:dyDescent="0.25">
      <c r="A319" s="3"/>
      <c r="B319" s="3"/>
      <c r="C319" s="3"/>
      <c r="D319" s="3"/>
      <c r="E319" s="3"/>
    </row>
    <row r="320" spans="1:13" ht="15.75" customHeight="1" x14ac:dyDescent="0.25">
      <c r="A320" s="3"/>
      <c r="B320" s="3"/>
      <c r="C320" s="3"/>
      <c r="D320" s="3"/>
      <c r="E320" s="3"/>
    </row>
    <row r="321" spans="1:5" ht="15.75" customHeight="1" x14ac:dyDescent="0.25">
      <c r="A321" s="3"/>
      <c r="B321" s="3"/>
      <c r="C321" s="3"/>
      <c r="D321" s="3"/>
      <c r="E321" s="3"/>
    </row>
    <row r="322" spans="1:5" ht="15.75" customHeight="1" x14ac:dyDescent="0.25">
      <c r="A322" s="3"/>
      <c r="B322" s="3"/>
      <c r="C322" s="3"/>
      <c r="D322" s="3"/>
      <c r="E322" s="3"/>
    </row>
    <row r="323" spans="1:5" ht="15.75" customHeight="1" x14ac:dyDescent="0.25">
      <c r="A323" s="3"/>
      <c r="B323" s="3"/>
      <c r="C323" s="3"/>
      <c r="D323" s="3"/>
      <c r="E323" s="3"/>
    </row>
    <row r="324" spans="1:5" ht="15.75" customHeight="1" x14ac:dyDescent="0.25">
      <c r="A324" s="3"/>
      <c r="B324" s="3"/>
      <c r="C324" s="3"/>
      <c r="D324" s="3"/>
      <c r="E324" s="3"/>
    </row>
    <row r="325" spans="1:5" ht="15.75" customHeight="1" x14ac:dyDescent="0.25">
      <c r="A325" s="3"/>
      <c r="B325" s="3"/>
      <c r="C325" s="3"/>
      <c r="D325" s="3"/>
      <c r="E325" s="3"/>
    </row>
    <row r="326" spans="1:5" ht="15.75" customHeight="1" x14ac:dyDescent="0.25">
      <c r="A326" s="3"/>
      <c r="B326" s="3"/>
      <c r="C326" s="3"/>
      <c r="D326" s="3"/>
      <c r="E326" s="3"/>
    </row>
    <row r="327" spans="1:5" ht="15.75" customHeight="1" x14ac:dyDescent="0.25">
      <c r="A327" s="3"/>
      <c r="B327" s="3"/>
      <c r="C327" s="3"/>
      <c r="D327" s="3"/>
      <c r="E327" s="3"/>
    </row>
    <row r="328" spans="1:5" ht="15.75" customHeight="1" x14ac:dyDescent="0.25">
      <c r="A328" s="3"/>
      <c r="B328" s="3"/>
      <c r="C328" s="3"/>
      <c r="D328" s="3"/>
      <c r="E328" s="3"/>
    </row>
    <row r="329" spans="1:5" ht="15.75" customHeight="1" x14ac:dyDescent="0.25">
      <c r="A329" s="3"/>
      <c r="B329" s="3"/>
      <c r="C329" s="3"/>
      <c r="D329" s="3"/>
      <c r="E329" s="3"/>
    </row>
    <row r="330" spans="1:5" ht="15.75" customHeight="1" x14ac:dyDescent="0.25">
      <c r="A330" s="3"/>
      <c r="B330" s="3"/>
      <c r="C330" s="3"/>
      <c r="D330" s="3"/>
      <c r="E330" s="3"/>
    </row>
    <row r="331" spans="1:5" ht="15.75" customHeight="1" x14ac:dyDescent="0.25">
      <c r="A331" s="3"/>
      <c r="B331" s="3"/>
      <c r="C331" s="3"/>
      <c r="D331" s="3"/>
      <c r="E331" s="3"/>
    </row>
    <row r="332" spans="1:5" ht="15.75" customHeight="1" x14ac:dyDescent="0.25">
      <c r="A332" s="3"/>
      <c r="B332" s="3"/>
      <c r="C332" s="3"/>
      <c r="D332" s="3"/>
      <c r="E332" s="3"/>
    </row>
    <row r="333" spans="1:5" ht="15.75" customHeight="1" x14ac:dyDescent="0.25">
      <c r="A333" s="3"/>
      <c r="B333" s="3"/>
      <c r="C333" s="3"/>
      <c r="D333" s="3"/>
      <c r="E333" s="3"/>
    </row>
    <row r="334" spans="1:5" ht="15.75" customHeight="1" x14ac:dyDescent="0.25">
      <c r="A334" s="3"/>
      <c r="B334" s="3"/>
      <c r="C334" s="3"/>
      <c r="D334" s="3"/>
      <c r="E334" s="3"/>
    </row>
    <row r="335" spans="1:5" ht="15.75" customHeight="1" x14ac:dyDescent="0.25">
      <c r="A335" s="3"/>
      <c r="B335" s="3"/>
      <c r="C335" s="3"/>
      <c r="D335" s="3"/>
      <c r="E335" s="3"/>
    </row>
    <row r="336" spans="1:5" ht="15.75" customHeight="1" x14ac:dyDescent="0.25">
      <c r="A336" s="3"/>
      <c r="B336" s="3"/>
      <c r="C336" s="3"/>
      <c r="D336" s="3"/>
      <c r="E336" s="3"/>
    </row>
    <row r="337" spans="1:5" ht="15.75" customHeight="1" x14ac:dyDescent="0.25">
      <c r="A337" s="3"/>
      <c r="B337" s="3"/>
      <c r="C337" s="3"/>
      <c r="D337" s="3"/>
      <c r="E337" s="3"/>
    </row>
    <row r="338" spans="1:5" ht="15.75" customHeight="1" x14ac:dyDescent="0.25">
      <c r="A338" s="3"/>
      <c r="B338" s="3"/>
      <c r="C338" s="3"/>
      <c r="D338" s="3"/>
      <c r="E338" s="3"/>
    </row>
    <row r="339" spans="1:5" ht="15.75" customHeight="1" x14ac:dyDescent="0.25">
      <c r="A339" s="3"/>
      <c r="B339" s="3"/>
      <c r="C339" s="3"/>
      <c r="D339" s="3"/>
      <c r="E339" s="3"/>
    </row>
    <row r="340" spans="1:5" ht="15.75" customHeight="1" x14ac:dyDescent="0.25">
      <c r="A340" s="3"/>
      <c r="B340" s="3"/>
      <c r="C340" s="3"/>
      <c r="D340" s="3"/>
      <c r="E340" s="3"/>
    </row>
    <row r="341" spans="1:5" ht="15.75" customHeight="1" x14ac:dyDescent="0.25">
      <c r="A341" s="3"/>
      <c r="B341" s="3"/>
      <c r="C341" s="3"/>
      <c r="D341" s="3"/>
      <c r="E341" s="3"/>
    </row>
    <row r="342" spans="1:5" ht="15.75" customHeight="1" x14ac:dyDescent="0.25">
      <c r="A342" s="3"/>
      <c r="B342" s="3"/>
      <c r="C342" s="3"/>
      <c r="D342" s="3"/>
      <c r="E342" s="3"/>
    </row>
    <row r="343" spans="1:5" ht="15.75" customHeight="1" x14ac:dyDescent="0.25">
      <c r="A343" s="3"/>
      <c r="B343" s="3"/>
      <c r="C343" s="3"/>
      <c r="D343" s="3"/>
      <c r="E343" s="3"/>
    </row>
    <row r="344" spans="1:5" ht="15.75" customHeight="1" x14ac:dyDescent="0.25">
      <c r="A344" s="3"/>
      <c r="B344" s="3"/>
      <c r="C344" s="3"/>
      <c r="D344" s="3"/>
      <c r="E344" s="3"/>
    </row>
    <row r="345" spans="1:5" ht="15.75" customHeight="1" x14ac:dyDescent="0.25">
      <c r="A345" s="3"/>
      <c r="B345" s="3"/>
      <c r="C345" s="3"/>
      <c r="D345" s="3"/>
      <c r="E345" s="3"/>
    </row>
    <row r="346" spans="1:5" ht="15.75" customHeight="1" x14ac:dyDescent="0.25">
      <c r="A346" s="3"/>
      <c r="B346" s="3"/>
      <c r="C346" s="3"/>
      <c r="D346" s="3"/>
      <c r="E346" s="3"/>
    </row>
    <row r="347" spans="1:5" ht="15.75" customHeight="1" x14ac:dyDescent="0.25">
      <c r="A347" s="3"/>
      <c r="B347" s="3"/>
      <c r="C347" s="3"/>
      <c r="D347" s="3"/>
      <c r="E347" s="3"/>
    </row>
    <row r="348" spans="1:5" ht="15.75" customHeight="1" x14ac:dyDescent="0.25">
      <c r="A348" s="3"/>
      <c r="B348" s="3"/>
      <c r="C348" s="3"/>
      <c r="D348" s="3"/>
      <c r="E348" s="3"/>
    </row>
    <row r="349" spans="1:5" ht="15.75" customHeight="1" x14ac:dyDescent="0.25">
      <c r="A349" s="3"/>
      <c r="B349" s="3"/>
      <c r="C349" s="3"/>
      <c r="D349" s="3"/>
      <c r="E349" s="3"/>
    </row>
    <row r="350" spans="1:5" ht="15.75" customHeight="1" x14ac:dyDescent="0.25">
      <c r="A350" s="3"/>
      <c r="B350" s="3"/>
      <c r="C350" s="3"/>
      <c r="D350" s="3"/>
      <c r="E350" s="3"/>
    </row>
    <row r="351" spans="1:5" ht="15.75" customHeight="1" x14ac:dyDescent="0.25">
      <c r="A351" s="3"/>
      <c r="B351" s="3"/>
      <c r="C351" s="3"/>
      <c r="D351" s="3"/>
      <c r="E351" s="3"/>
    </row>
    <row r="352" spans="1:5" ht="15.75" customHeight="1" x14ac:dyDescent="0.25">
      <c r="A352" s="3"/>
      <c r="B352" s="3"/>
      <c r="C352" s="3"/>
      <c r="D352" s="3"/>
      <c r="E352" s="3"/>
    </row>
    <row r="353" spans="1:5" ht="15.75" customHeight="1" x14ac:dyDescent="0.25">
      <c r="A353" s="3"/>
      <c r="B353" s="3"/>
      <c r="C353" s="3"/>
      <c r="D353" s="3"/>
      <c r="E353" s="3"/>
    </row>
    <row r="354" spans="1:5" ht="15.75" customHeight="1" x14ac:dyDescent="0.25">
      <c r="A354" s="3"/>
      <c r="B354" s="3"/>
      <c r="C354" s="3"/>
      <c r="D354" s="3"/>
      <c r="E354" s="3"/>
    </row>
    <row r="355" spans="1:5" ht="15.75" customHeight="1" x14ac:dyDescent="0.25">
      <c r="A355" s="3"/>
      <c r="B355" s="3"/>
      <c r="C355" s="3"/>
      <c r="D355" s="3"/>
      <c r="E355" s="3"/>
    </row>
    <row r="356" spans="1:5" ht="15.75" customHeight="1" x14ac:dyDescent="0.25">
      <c r="A356" s="3"/>
      <c r="B356" s="3"/>
      <c r="C356" s="9"/>
      <c r="D356" s="3"/>
      <c r="E356" s="3"/>
    </row>
    <row r="357" spans="1:5" ht="15.75" customHeight="1" x14ac:dyDescent="0.25">
      <c r="A357" s="3"/>
      <c r="B357" s="3"/>
      <c r="C357" s="9"/>
      <c r="D357" s="3"/>
      <c r="E357" s="3"/>
    </row>
    <row r="358" spans="1:5" ht="15.75" customHeight="1" x14ac:dyDescent="0.25">
      <c r="A358" s="3"/>
      <c r="B358" s="3"/>
      <c r="C358" s="9"/>
      <c r="D358" s="3"/>
      <c r="E358" s="3"/>
    </row>
    <row r="359" spans="1:5" ht="15.75" customHeight="1" x14ac:dyDescent="0.25">
      <c r="A359" s="3"/>
      <c r="B359" s="3"/>
      <c r="C359" s="9"/>
      <c r="D359" s="3"/>
      <c r="E359" s="3"/>
    </row>
    <row r="360" spans="1:5" ht="15.75" customHeight="1" x14ac:dyDescent="0.25">
      <c r="A360" s="3"/>
      <c r="B360" s="3"/>
      <c r="C360" s="9"/>
      <c r="D360" s="3"/>
      <c r="E360" s="3"/>
    </row>
    <row r="361" spans="1:5" ht="15.75" customHeight="1" x14ac:dyDescent="0.25">
      <c r="A361" s="3"/>
      <c r="B361" s="3"/>
      <c r="C361" s="9"/>
      <c r="D361" s="3"/>
      <c r="E361" s="3"/>
    </row>
    <row r="362" spans="1:5" ht="15.75" customHeight="1" x14ac:dyDescent="0.25">
      <c r="A362" s="3"/>
      <c r="B362" s="3"/>
      <c r="C362" s="9"/>
      <c r="D362" s="3"/>
      <c r="E362" s="3"/>
    </row>
    <row r="363" spans="1:5" ht="15.75" customHeight="1" x14ac:dyDescent="0.25">
      <c r="A363" s="3"/>
      <c r="B363" s="3"/>
      <c r="C363" s="9"/>
      <c r="D363" s="3"/>
      <c r="E363" s="3"/>
    </row>
    <row r="364" spans="1:5" ht="15.75" customHeight="1" x14ac:dyDescent="0.25">
      <c r="A364" s="3"/>
      <c r="B364" s="3"/>
      <c r="C364" s="9"/>
      <c r="D364" s="3"/>
      <c r="E364" s="3"/>
    </row>
    <row r="365" spans="1:5" ht="15.75" customHeight="1" x14ac:dyDescent="0.25">
      <c r="A365" s="3"/>
      <c r="B365" s="3"/>
      <c r="C365" s="9"/>
      <c r="D365" s="3"/>
      <c r="E365" s="3"/>
    </row>
    <row r="366" spans="1:5" ht="15.75" customHeight="1" x14ac:dyDescent="0.25">
      <c r="A366" s="3"/>
      <c r="B366" s="3"/>
      <c r="C366" s="9"/>
      <c r="D366" s="3"/>
      <c r="E366" s="3"/>
    </row>
    <row r="367" spans="1:5" ht="15.75" customHeight="1" x14ac:dyDescent="0.25">
      <c r="A367" s="3"/>
      <c r="B367" s="3"/>
      <c r="C367" s="9"/>
      <c r="D367" s="3"/>
      <c r="E367" s="3"/>
    </row>
    <row r="368" spans="1:5" ht="15.75" customHeight="1" x14ac:dyDescent="0.25">
      <c r="A368" s="3"/>
      <c r="B368" s="3"/>
      <c r="C368" s="9"/>
      <c r="D368" s="3"/>
      <c r="E368" s="3"/>
    </row>
    <row r="369" spans="1:5" ht="15.75" customHeight="1" x14ac:dyDescent="0.25">
      <c r="A369" s="3"/>
      <c r="B369" s="3"/>
      <c r="C369" s="9"/>
      <c r="D369" s="3"/>
      <c r="E369" s="3"/>
    </row>
    <row r="370" spans="1:5" ht="15.75" customHeight="1" x14ac:dyDescent="0.25">
      <c r="A370" s="3"/>
      <c r="B370" s="3"/>
      <c r="C370" s="9"/>
      <c r="D370" s="3"/>
      <c r="E370" s="3"/>
    </row>
    <row r="371" spans="1:5" ht="15.75" customHeight="1" x14ac:dyDescent="0.25">
      <c r="A371" s="3"/>
      <c r="B371" s="3"/>
      <c r="C371" s="9"/>
      <c r="D371" s="3"/>
      <c r="E371" s="3"/>
    </row>
    <row r="372" spans="1:5" ht="15.75" customHeight="1" x14ac:dyDescent="0.25">
      <c r="A372" s="3"/>
      <c r="B372" s="3"/>
      <c r="C372" s="9"/>
      <c r="D372" s="3"/>
      <c r="E372" s="3"/>
    </row>
    <row r="373" spans="1:5" ht="15.75" customHeight="1" x14ac:dyDescent="0.25">
      <c r="A373" s="3"/>
      <c r="B373" s="3"/>
      <c r="C373" s="9"/>
      <c r="D373" s="3"/>
      <c r="E373" s="3"/>
    </row>
    <row r="374" spans="1:5" ht="15.75" customHeight="1" x14ac:dyDescent="0.25">
      <c r="A374" s="3"/>
      <c r="B374" s="3"/>
      <c r="C374" s="9"/>
      <c r="D374" s="3"/>
      <c r="E374" s="3"/>
    </row>
    <row r="375" spans="1:5" ht="15.75" customHeight="1" x14ac:dyDescent="0.25">
      <c r="A375" s="3"/>
      <c r="B375" s="3"/>
      <c r="C375" s="9"/>
      <c r="D375" s="3"/>
      <c r="E375" s="3"/>
    </row>
    <row r="376" spans="1:5" ht="15.75" customHeight="1" x14ac:dyDescent="0.25">
      <c r="A376" s="3"/>
      <c r="B376" s="3"/>
      <c r="C376" s="9"/>
      <c r="D376" s="3"/>
      <c r="E376" s="3"/>
    </row>
    <row r="377" spans="1:5" ht="15.75" customHeight="1" x14ac:dyDescent="0.25">
      <c r="A377" s="3"/>
      <c r="B377" s="3"/>
      <c r="C377" s="9"/>
      <c r="D377" s="3"/>
      <c r="E377" s="3"/>
    </row>
    <row r="378" spans="1:5" ht="15.75" customHeight="1" x14ac:dyDescent="0.25">
      <c r="A378" s="3"/>
      <c r="B378" s="3"/>
      <c r="C378" s="9"/>
      <c r="D378" s="3"/>
      <c r="E378" s="3"/>
    </row>
    <row r="379" spans="1:5" ht="15.75" customHeight="1" x14ac:dyDescent="0.25">
      <c r="A379" s="3"/>
      <c r="B379" s="3"/>
      <c r="C379" s="9"/>
      <c r="D379" s="3"/>
      <c r="E379" s="3"/>
    </row>
    <row r="380" spans="1:5" ht="15.75" customHeight="1" x14ac:dyDescent="0.25">
      <c r="A380" s="3"/>
      <c r="B380" s="3"/>
      <c r="C380" s="9"/>
      <c r="D380" s="3"/>
      <c r="E380" s="3"/>
    </row>
    <row r="381" spans="1:5" ht="15.75" customHeight="1" x14ac:dyDescent="0.25">
      <c r="A381" s="3"/>
      <c r="B381" s="3"/>
      <c r="C381" s="9"/>
      <c r="D381" s="3"/>
      <c r="E381" s="3"/>
    </row>
    <row r="382" spans="1:5" ht="15.75" customHeight="1" x14ac:dyDescent="0.25">
      <c r="A382" s="3"/>
      <c r="B382" s="3"/>
      <c r="C382" s="9"/>
      <c r="D382" s="3"/>
      <c r="E382" s="3"/>
    </row>
    <row r="383" spans="1:5" ht="15.75" customHeight="1" x14ac:dyDescent="0.25">
      <c r="A383" s="3"/>
      <c r="B383" s="3"/>
      <c r="C383" s="9"/>
      <c r="D383" s="3"/>
      <c r="E383" s="3"/>
    </row>
    <row r="384" spans="1:5" ht="15.75" customHeight="1" x14ac:dyDescent="0.25">
      <c r="A384" s="3"/>
      <c r="B384" s="3"/>
      <c r="C384" s="9"/>
      <c r="D384" s="3"/>
      <c r="E384" s="3"/>
    </row>
    <row r="385" spans="1:5" ht="15.75" customHeight="1" x14ac:dyDescent="0.25">
      <c r="A385" s="3"/>
      <c r="B385" s="3"/>
      <c r="C385" s="9"/>
      <c r="D385" s="3"/>
      <c r="E385" s="3"/>
    </row>
    <row r="386" spans="1:5" ht="15.75" customHeight="1" x14ac:dyDescent="0.25">
      <c r="A386" s="3"/>
      <c r="B386" s="3"/>
      <c r="C386" s="9"/>
      <c r="D386" s="3"/>
      <c r="E386" s="3"/>
    </row>
    <row r="387" spans="1:5" ht="15.75" customHeight="1" x14ac:dyDescent="0.25">
      <c r="A387" s="3"/>
      <c r="B387" s="3"/>
      <c r="C387" s="9"/>
      <c r="D387" s="3"/>
      <c r="E387" s="3"/>
    </row>
    <row r="388" spans="1:5" ht="15.75" customHeight="1" x14ac:dyDescent="0.25">
      <c r="A388" s="3"/>
      <c r="B388" s="3"/>
      <c r="C388" s="9"/>
      <c r="D388" s="3"/>
      <c r="E388" s="3"/>
    </row>
    <row r="389" spans="1:5" ht="15.75" customHeight="1" x14ac:dyDescent="0.25">
      <c r="A389" s="3"/>
      <c r="B389" s="3"/>
      <c r="C389" s="9"/>
      <c r="D389" s="3"/>
      <c r="E389" s="3"/>
    </row>
    <row r="390" spans="1:5" ht="15.75" customHeight="1" x14ac:dyDescent="0.25">
      <c r="A390" s="3"/>
      <c r="B390" s="3"/>
      <c r="C390" s="9"/>
      <c r="D390" s="3"/>
      <c r="E390" s="3"/>
    </row>
    <row r="391" spans="1:5" ht="15.75" customHeight="1" x14ac:dyDescent="0.25">
      <c r="A391" s="3"/>
      <c r="B391" s="3"/>
      <c r="C391" s="9"/>
      <c r="D391" s="3"/>
      <c r="E391" s="3"/>
    </row>
    <row r="392" spans="1:5" ht="15.75" customHeight="1" x14ac:dyDescent="0.25">
      <c r="A392" s="3"/>
      <c r="B392" s="3"/>
      <c r="C392" s="9"/>
      <c r="D392" s="3"/>
      <c r="E392" s="3"/>
    </row>
    <row r="393" spans="1:5" ht="15.75" customHeight="1" x14ac:dyDescent="0.25">
      <c r="A393" s="3"/>
      <c r="B393" s="3"/>
      <c r="C393" s="9"/>
      <c r="D393" s="3"/>
      <c r="E393" s="3"/>
    </row>
    <row r="394" spans="1:5" ht="15.75" customHeight="1" x14ac:dyDescent="0.25">
      <c r="A394" s="3"/>
      <c r="B394" s="3"/>
      <c r="C394" s="9"/>
      <c r="D394" s="3"/>
      <c r="E394" s="3"/>
    </row>
    <row r="395" spans="1:5" ht="15.75" customHeight="1" x14ac:dyDescent="0.25">
      <c r="A395" s="3"/>
      <c r="B395" s="3"/>
      <c r="C395" s="9"/>
      <c r="D395" s="3"/>
      <c r="E395" s="3"/>
    </row>
    <row r="396" spans="1:5" ht="15.75" customHeight="1" x14ac:dyDescent="0.25">
      <c r="A396" s="3"/>
      <c r="B396" s="3"/>
      <c r="C396" s="9"/>
      <c r="D396" s="3"/>
      <c r="E396" s="3"/>
    </row>
    <row r="397" spans="1:5" ht="15.75" customHeight="1" x14ac:dyDescent="0.25">
      <c r="A397" s="3"/>
      <c r="B397" s="3"/>
      <c r="C397" s="9"/>
      <c r="D397" s="3"/>
      <c r="E397" s="3"/>
    </row>
    <row r="398" spans="1:5" ht="15.75" customHeight="1" x14ac:dyDescent="0.25">
      <c r="A398" s="3"/>
      <c r="B398" s="3"/>
      <c r="C398" s="9"/>
      <c r="D398" s="3"/>
      <c r="E398" s="3"/>
    </row>
    <row r="399" spans="1:5" ht="15.75" customHeight="1" x14ac:dyDescent="0.25">
      <c r="A399" s="3"/>
      <c r="B399" s="3"/>
      <c r="C399" s="9"/>
      <c r="D399" s="3"/>
      <c r="E399" s="3"/>
    </row>
    <row r="400" spans="1:5" ht="15.75" customHeight="1" x14ac:dyDescent="0.25">
      <c r="A400" s="3"/>
      <c r="B400" s="3"/>
      <c r="C400" s="9"/>
      <c r="D400" s="3"/>
      <c r="E400" s="3"/>
    </row>
    <row r="401" spans="1:5" ht="15.75" customHeight="1" x14ac:dyDescent="0.25">
      <c r="A401" s="3"/>
      <c r="B401" s="3"/>
      <c r="C401" s="3"/>
      <c r="D401" s="3"/>
      <c r="E401" s="3"/>
    </row>
    <row r="402" spans="1:5" ht="15.75" customHeight="1" x14ac:dyDescent="0.25">
      <c r="A402" s="3"/>
      <c r="B402" s="3"/>
      <c r="C402" s="3"/>
      <c r="D402" s="3"/>
      <c r="E402" s="3"/>
    </row>
    <row r="403" spans="1:5" ht="15.75" customHeight="1" x14ac:dyDescent="0.25">
      <c r="A403" s="3"/>
      <c r="B403" s="3"/>
      <c r="C403" s="3"/>
      <c r="D403" s="3"/>
      <c r="E403" s="3"/>
    </row>
    <row r="404" spans="1:5" ht="15.75" customHeight="1" x14ac:dyDescent="0.25">
      <c r="A404" s="3"/>
      <c r="B404" s="3"/>
      <c r="C404" s="3"/>
      <c r="D404" s="3"/>
      <c r="E404" s="3"/>
    </row>
    <row r="405" spans="1:5" ht="15.75" customHeight="1" x14ac:dyDescent="0.25">
      <c r="A405" s="3"/>
      <c r="B405" s="3"/>
      <c r="C405" s="3"/>
      <c r="D405" s="3"/>
      <c r="E405" s="3"/>
    </row>
    <row r="406" spans="1:5" ht="15.75" customHeight="1" x14ac:dyDescent="0.25">
      <c r="A406" s="3"/>
      <c r="B406" s="3"/>
      <c r="C406" s="3"/>
      <c r="D406" s="3"/>
      <c r="E406" s="3"/>
    </row>
    <row r="407" spans="1:5" ht="15.75" customHeight="1" x14ac:dyDescent="0.25">
      <c r="A407" s="3"/>
      <c r="B407" s="3"/>
      <c r="C407" s="3"/>
      <c r="D407" s="3"/>
      <c r="E407" s="3"/>
    </row>
    <row r="408" spans="1:5" ht="15.75" customHeight="1" x14ac:dyDescent="0.25">
      <c r="A408" s="3"/>
      <c r="B408" s="3"/>
      <c r="C408" s="3"/>
      <c r="D408" s="3"/>
      <c r="E408" s="3"/>
    </row>
    <row r="409" spans="1:5" ht="15.75" customHeight="1" x14ac:dyDescent="0.25">
      <c r="A409" s="3"/>
      <c r="B409" s="3"/>
      <c r="C409" s="3"/>
      <c r="D409" s="3"/>
      <c r="E409" s="3"/>
    </row>
    <row r="410" spans="1:5" ht="15.75" customHeight="1" x14ac:dyDescent="0.25">
      <c r="A410" s="3"/>
      <c r="B410" s="3"/>
      <c r="C410" s="3"/>
      <c r="D410" s="3"/>
      <c r="E410" s="3"/>
    </row>
    <row r="411" spans="1:5" ht="15.75" customHeight="1" x14ac:dyDescent="0.25">
      <c r="A411" s="3"/>
      <c r="B411" s="3"/>
      <c r="C411" s="3"/>
      <c r="D411" s="3"/>
      <c r="E411" s="3"/>
    </row>
    <row r="412" spans="1:5" ht="15.75" customHeight="1" x14ac:dyDescent="0.25">
      <c r="A412" s="3"/>
      <c r="B412" s="3"/>
      <c r="C412" s="3"/>
      <c r="D412" s="3"/>
      <c r="E412" s="3"/>
    </row>
    <row r="413" spans="1:5" ht="15.75" customHeight="1" x14ac:dyDescent="0.25">
      <c r="A413" s="3"/>
      <c r="B413" s="3"/>
      <c r="C413" s="3"/>
      <c r="D413" s="3"/>
      <c r="E413" s="3"/>
    </row>
    <row r="414" spans="1:5" ht="15.75" customHeight="1" x14ac:dyDescent="0.25">
      <c r="A414" s="3"/>
      <c r="B414" s="3"/>
      <c r="C414" s="3"/>
      <c r="D414" s="3"/>
      <c r="E414" s="3"/>
    </row>
    <row r="415" spans="1:5" ht="15.75" customHeight="1" x14ac:dyDescent="0.25">
      <c r="A415" s="3"/>
      <c r="B415" s="3"/>
      <c r="C415" s="3"/>
      <c r="D415" s="3"/>
      <c r="E415" s="3"/>
    </row>
    <row r="416" spans="1:5" ht="15.75" customHeight="1" x14ac:dyDescent="0.25">
      <c r="A416" s="3"/>
      <c r="B416" s="3"/>
      <c r="C416" s="3"/>
      <c r="D416" s="3"/>
      <c r="E416" s="3"/>
    </row>
    <row r="417" spans="1:5" ht="15.75" customHeight="1" x14ac:dyDescent="0.25">
      <c r="A417" s="3"/>
      <c r="B417" s="3"/>
      <c r="C417" s="3"/>
      <c r="D417" s="3"/>
      <c r="E417" s="3"/>
    </row>
    <row r="418" spans="1:5" ht="15.75" customHeight="1" x14ac:dyDescent="0.25">
      <c r="A418" s="3"/>
      <c r="B418" s="3"/>
      <c r="C418" s="3"/>
      <c r="D418" s="3"/>
      <c r="E418" s="3"/>
    </row>
    <row r="419" spans="1:5" ht="15.75" customHeight="1" x14ac:dyDescent="0.25">
      <c r="A419" s="3"/>
      <c r="B419" s="3"/>
      <c r="C419" s="3"/>
      <c r="D419" s="3"/>
      <c r="E419" s="3"/>
    </row>
    <row r="420" spans="1:5" ht="15.75" customHeight="1" x14ac:dyDescent="0.25">
      <c r="A420" s="3"/>
      <c r="B420" s="3"/>
      <c r="C420" s="3"/>
      <c r="D420" s="3"/>
      <c r="E420" s="3"/>
    </row>
    <row r="421" spans="1:5" ht="15.75" customHeight="1" x14ac:dyDescent="0.25">
      <c r="A421" s="3"/>
      <c r="B421" s="3"/>
      <c r="C421" s="3"/>
      <c r="D421" s="3"/>
      <c r="E421" s="3"/>
    </row>
    <row r="422" spans="1:5" ht="15.75" customHeight="1" x14ac:dyDescent="0.25">
      <c r="A422" s="3"/>
      <c r="B422" s="3"/>
      <c r="C422" s="3"/>
      <c r="D422" s="3"/>
      <c r="E422" s="3"/>
    </row>
    <row r="423" spans="1:5" ht="15.75" customHeight="1" x14ac:dyDescent="0.25">
      <c r="A423" s="3"/>
      <c r="B423" s="3"/>
      <c r="C423" s="3"/>
      <c r="D423" s="3"/>
      <c r="E423" s="3"/>
    </row>
    <row r="424" spans="1:5" ht="15.75" customHeight="1" x14ac:dyDescent="0.25">
      <c r="A424" s="3"/>
      <c r="B424" s="3"/>
      <c r="C424" s="3"/>
      <c r="D424" s="3"/>
      <c r="E424" s="3"/>
    </row>
    <row r="425" spans="1:5" ht="15.75" customHeight="1" x14ac:dyDescent="0.25">
      <c r="A425" s="3"/>
      <c r="B425" s="3"/>
      <c r="C425" s="3"/>
      <c r="D425" s="3"/>
      <c r="E425" s="3"/>
    </row>
    <row r="426" spans="1:5" ht="15.75" customHeight="1" x14ac:dyDescent="0.25">
      <c r="A426" s="3"/>
      <c r="B426" s="3"/>
      <c r="C426" s="3"/>
      <c r="D426" s="3"/>
      <c r="E426" s="3"/>
    </row>
    <row r="427" spans="1:5" ht="15.75" customHeight="1" x14ac:dyDescent="0.25">
      <c r="A427" s="3"/>
      <c r="B427" s="3"/>
      <c r="C427" s="3"/>
      <c r="D427" s="3"/>
      <c r="E427" s="3"/>
    </row>
    <row r="428" spans="1:5" ht="15.75" customHeight="1" x14ac:dyDescent="0.25">
      <c r="A428" s="3"/>
      <c r="B428" s="3"/>
      <c r="C428" s="3"/>
      <c r="D428" s="3"/>
      <c r="E428" s="3"/>
    </row>
    <row r="429" spans="1:5" ht="15.75" customHeight="1" x14ac:dyDescent="0.25">
      <c r="A429" s="3"/>
      <c r="B429" s="3"/>
      <c r="C429" s="3"/>
      <c r="D429" s="3"/>
      <c r="E429" s="3"/>
    </row>
    <row r="430" spans="1:5" ht="15.75" customHeight="1" x14ac:dyDescent="0.25">
      <c r="A430" s="3"/>
      <c r="B430" s="3"/>
      <c r="C430" s="3"/>
      <c r="D430" s="3"/>
      <c r="E430" s="3"/>
    </row>
    <row r="431" spans="1:5" ht="15.75" customHeight="1" x14ac:dyDescent="0.25">
      <c r="A431" s="3"/>
      <c r="B431" s="3"/>
      <c r="C431" s="3"/>
      <c r="D431" s="3"/>
      <c r="E431" s="3"/>
    </row>
    <row r="432" spans="1:5" ht="15.75" customHeight="1" x14ac:dyDescent="0.25">
      <c r="A432" s="3"/>
      <c r="B432" s="3"/>
      <c r="C432" s="3"/>
      <c r="D432" s="3"/>
      <c r="E432" s="3"/>
    </row>
    <row r="433" spans="1:5" ht="15.75" customHeight="1" x14ac:dyDescent="0.25">
      <c r="A433" s="3"/>
      <c r="B433" s="3"/>
      <c r="C433" s="3"/>
      <c r="D433" s="3"/>
      <c r="E433" s="3"/>
    </row>
    <row r="434" spans="1:5" ht="15.75" customHeight="1" x14ac:dyDescent="0.25">
      <c r="A434" s="3"/>
      <c r="B434" s="3"/>
      <c r="C434" s="3"/>
      <c r="D434" s="3"/>
      <c r="E434" s="3"/>
    </row>
    <row r="435" spans="1:5" ht="15.75" customHeight="1" x14ac:dyDescent="0.25">
      <c r="A435" s="3"/>
      <c r="B435" s="3"/>
      <c r="C435" s="3"/>
      <c r="D435" s="3"/>
      <c r="E435" s="3"/>
    </row>
    <row r="436" spans="1:5" ht="15.75" customHeight="1" x14ac:dyDescent="0.25">
      <c r="A436" s="3"/>
      <c r="B436" s="3"/>
      <c r="C436" s="3"/>
      <c r="D436" s="3"/>
      <c r="E436" s="3"/>
    </row>
    <row r="437" spans="1:5" ht="15.75" customHeight="1" x14ac:dyDescent="0.25">
      <c r="A437" s="3"/>
      <c r="B437" s="3"/>
      <c r="C437" s="3"/>
      <c r="D437" s="3"/>
      <c r="E437" s="3"/>
    </row>
    <row r="438" spans="1:5" ht="15.75" customHeight="1" x14ac:dyDescent="0.25">
      <c r="A438" s="3"/>
      <c r="B438" s="3"/>
      <c r="C438" s="3"/>
      <c r="D438" s="3"/>
      <c r="E438" s="3"/>
    </row>
    <row r="439" spans="1:5" ht="15.75" customHeight="1" x14ac:dyDescent="0.25">
      <c r="A439" s="3"/>
      <c r="B439" s="3"/>
      <c r="C439" s="3"/>
      <c r="D439" s="3"/>
      <c r="E439" s="3"/>
    </row>
    <row r="440" spans="1:5" ht="15.75" customHeight="1" x14ac:dyDescent="0.25">
      <c r="A440" s="3"/>
      <c r="B440" s="3"/>
      <c r="C440" s="3"/>
      <c r="D440" s="3"/>
      <c r="E440" s="3"/>
    </row>
    <row r="441" spans="1:5" ht="15.75" customHeight="1" x14ac:dyDescent="0.25">
      <c r="A441" s="3"/>
      <c r="B441" s="3"/>
      <c r="C441" s="3"/>
      <c r="D441" s="3"/>
      <c r="E441" s="3"/>
    </row>
    <row r="442" spans="1:5" ht="15.75" customHeight="1" x14ac:dyDescent="0.25">
      <c r="A442" s="3"/>
      <c r="B442" s="3"/>
      <c r="C442" s="3"/>
      <c r="D442" s="3"/>
      <c r="E442" s="3"/>
    </row>
    <row r="443" spans="1:5" ht="15.75" customHeight="1" x14ac:dyDescent="0.25">
      <c r="A443" s="3"/>
      <c r="B443" s="3"/>
      <c r="C443" s="3"/>
      <c r="D443" s="3"/>
      <c r="E443" s="3"/>
    </row>
    <row r="444" spans="1:5" ht="15.75" customHeight="1" x14ac:dyDescent="0.25">
      <c r="A444" s="3"/>
      <c r="B444" s="3"/>
      <c r="C444" s="3"/>
      <c r="D444" s="3"/>
      <c r="E444" s="3"/>
    </row>
    <row r="445" spans="1:5" ht="15.75" customHeight="1" x14ac:dyDescent="0.25">
      <c r="A445" s="3"/>
      <c r="B445" s="3"/>
      <c r="C445" s="3"/>
      <c r="D445" s="3"/>
      <c r="E445" s="3"/>
    </row>
    <row r="446" spans="1:5" ht="15.75" customHeight="1" x14ac:dyDescent="0.25">
      <c r="A446" s="3"/>
      <c r="B446" s="3"/>
      <c r="C446" s="3"/>
      <c r="D446" s="3"/>
      <c r="E446" s="3"/>
    </row>
    <row r="447" spans="1:5" ht="15.75" customHeight="1" x14ac:dyDescent="0.25">
      <c r="A447" s="3"/>
      <c r="B447" s="3"/>
      <c r="C447" s="3"/>
      <c r="D447" s="3"/>
      <c r="E447" s="3"/>
    </row>
    <row r="448" spans="1:5" ht="15.75" customHeight="1" x14ac:dyDescent="0.25">
      <c r="A448" s="3"/>
      <c r="B448" s="3"/>
      <c r="C448" s="3"/>
      <c r="D448" s="3"/>
      <c r="E448" s="3"/>
    </row>
    <row r="449" spans="1:5" ht="15.75" customHeight="1" x14ac:dyDescent="0.25">
      <c r="A449" s="3"/>
      <c r="B449" s="3"/>
      <c r="C449" s="3"/>
      <c r="D449" s="3"/>
      <c r="E449" s="3"/>
    </row>
    <row r="450" spans="1:5" ht="15.75" customHeight="1" x14ac:dyDescent="0.25">
      <c r="A450" s="3"/>
      <c r="B450" s="3"/>
      <c r="C450" s="3"/>
      <c r="D450" s="3"/>
      <c r="E450" s="3"/>
    </row>
    <row r="451" spans="1:5" ht="15.75" customHeight="1" x14ac:dyDescent="0.25">
      <c r="A451" s="3"/>
      <c r="B451" s="3"/>
      <c r="C451" s="3"/>
      <c r="D451" s="3"/>
      <c r="E451" s="3"/>
    </row>
    <row r="452" spans="1:5" ht="15.75" customHeight="1" x14ac:dyDescent="0.25">
      <c r="A452" s="3"/>
      <c r="B452" s="3"/>
      <c r="C452" s="3"/>
      <c r="D452" s="3"/>
      <c r="E452" s="3"/>
    </row>
    <row r="453" spans="1:5" ht="15.75" customHeight="1" x14ac:dyDescent="0.25">
      <c r="A453" s="3"/>
      <c r="B453" s="3"/>
      <c r="C453" s="3"/>
      <c r="D453" s="3"/>
      <c r="E453" s="3"/>
    </row>
    <row r="454" spans="1:5" ht="15.75" customHeight="1" x14ac:dyDescent="0.25">
      <c r="A454" s="3"/>
      <c r="B454" s="3"/>
      <c r="C454" s="3"/>
      <c r="D454" s="3"/>
      <c r="E454" s="3"/>
    </row>
    <row r="455" spans="1:5" ht="15.75" customHeight="1" x14ac:dyDescent="0.25">
      <c r="A455" s="3"/>
      <c r="B455" s="3"/>
      <c r="C455" s="3"/>
      <c r="D455" s="3"/>
      <c r="E455" s="3"/>
    </row>
    <row r="456" spans="1:5" ht="15.75" customHeight="1" x14ac:dyDescent="0.25">
      <c r="A456" s="3"/>
      <c r="B456" s="3"/>
      <c r="C456" s="3"/>
      <c r="D456" s="3"/>
      <c r="E456" s="3"/>
    </row>
    <row r="457" spans="1:5" ht="15.75" customHeight="1" x14ac:dyDescent="0.25">
      <c r="A457" s="3"/>
      <c r="B457" s="3"/>
      <c r="C457" s="3"/>
      <c r="D457" s="3"/>
      <c r="E457" s="3"/>
    </row>
    <row r="458" spans="1:5" ht="15.75" customHeight="1" x14ac:dyDescent="0.25">
      <c r="A458" s="3"/>
      <c r="B458" s="3"/>
      <c r="C458" s="3"/>
      <c r="D458" s="3"/>
      <c r="E458" s="3"/>
    </row>
    <row r="459" spans="1:5" ht="15.75" customHeight="1" x14ac:dyDescent="0.25">
      <c r="A459" s="3"/>
      <c r="B459" s="3"/>
      <c r="C459" s="3"/>
      <c r="D459" s="3"/>
      <c r="E459" s="3"/>
    </row>
    <row r="460" spans="1:5" ht="15.75" customHeight="1" x14ac:dyDescent="0.25">
      <c r="A460" s="3"/>
      <c r="B460" s="3"/>
      <c r="C460" s="3"/>
      <c r="D460" s="3"/>
      <c r="E460" s="3"/>
    </row>
    <row r="461" spans="1:5" ht="15.75" customHeight="1" x14ac:dyDescent="0.25">
      <c r="A461" s="3"/>
      <c r="B461" s="3"/>
      <c r="C461" s="3"/>
      <c r="D461" s="3"/>
      <c r="E461" s="3"/>
    </row>
    <row r="462" spans="1:5" ht="15.75" customHeight="1" x14ac:dyDescent="0.25">
      <c r="A462" s="3"/>
      <c r="B462" s="3"/>
      <c r="C462" s="3"/>
      <c r="D462" s="3"/>
      <c r="E462" s="3"/>
    </row>
    <row r="463" spans="1:5" ht="15.75" customHeight="1" x14ac:dyDescent="0.25">
      <c r="A463" s="3"/>
      <c r="B463" s="3"/>
      <c r="C463" s="3"/>
      <c r="D463" s="3"/>
      <c r="E463" s="3"/>
    </row>
    <row r="464" spans="1:5" ht="15.75" customHeight="1" x14ac:dyDescent="0.25">
      <c r="A464" s="3"/>
      <c r="B464" s="3"/>
      <c r="C464" s="3"/>
      <c r="D464" s="3"/>
      <c r="E464" s="3"/>
    </row>
    <row r="465" spans="1:5" ht="15.75" customHeight="1" x14ac:dyDescent="0.25">
      <c r="A465" s="3"/>
      <c r="B465" s="3"/>
      <c r="C465" s="3"/>
      <c r="D465" s="3"/>
      <c r="E465" s="3"/>
    </row>
    <row r="466" spans="1:5" ht="15.75" customHeight="1" x14ac:dyDescent="0.25">
      <c r="A466" s="3"/>
      <c r="B466" s="3"/>
      <c r="C466" s="3"/>
      <c r="D466" s="3"/>
      <c r="E466" s="3"/>
    </row>
    <row r="467" spans="1:5" ht="15.75" customHeight="1" x14ac:dyDescent="0.25">
      <c r="A467" s="3"/>
      <c r="B467" s="3"/>
      <c r="C467" s="3"/>
      <c r="D467" s="3"/>
      <c r="E467" s="3"/>
    </row>
    <row r="468" spans="1:5" ht="15.75" customHeight="1" x14ac:dyDescent="0.25">
      <c r="A468" s="3"/>
      <c r="B468" s="3"/>
      <c r="C468" s="3"/>
      <c r="D468" s="3"/>
      <c r="E468" s="3"/>
    </row>
    <row r="469" spans="1:5" ht="15.75" customHeight="1" x14ac:dyDescent="0.25">
      <c r="A469" s="3"/>
      <c r="B469" s="3"/>
      <c r="C469" s="3"/>
      <c r="D469" s="3"/>
      <c r="E469" s="3"/>
    </row>
    <row r="470" spans="1:5" ht="15.75" customHeight="1" x14ac:dyDescent="0.25">
      <c r="A470" s="3"/>
      <c r="B470" s="3"/>
      <c r="C470" s="3"/>
      <c r="D470" s="3"/>
      <c r="E470" s="3"/>
    </row>
    <row r="471" spans="1:5" ht="15.75" customHeight="1" x14ac:dyDescent="0.25">
      <c r="A471" s="3"/>
      <c r="B471" s="3"/>
      <c r="C471" s="3"/>
      <c r="D471" s="3"/>
      <c r="E471" s="3"/>
    </row>
    <row r="472" spans="1:5" ht="15.75" customHeight="1" x14ac:dyDescent="0.25">
      <c r="A472" s="3"/>
      <c r="B472" s="3"/>
      <c r="C472" s="3"/>
      <c r="D472" s="3"/>
      <c r="E472" s="3"/>
    </row>
    <row r="473" spans="1:5" ht="15.75" customHeight="1" x14ac:dyDescent="0.25">
      <c r="A473" s="3"/>
      <c r="B473" s="3"/>
      <c r="C473" s="3"/>
      <c r="D473" s="3"/>
      <c r="E473" s="3"/>
    </row>
    <row r="474" spans="1:5" ht="15.75" customHeight="1" x14ac:dyDescent="0.25">
      <c r="A474" s="3"/>
      <c r="B474" s="3"/>
      <c r="C474" s="3"/>
      <c r="D474" s="3"/>
      <c r="E474" s="3"/>
    </row>
    <row r="475" spans="1:5" ht="15.75" customHeight="1" x14ac:dyDescent="0.25">
      <c r="A475" s="3"/>
      <c r="B475" s="3"/>
      <c r="C475" s="3"/>
      <c r="D475" s="3"/>
      <c r="E475" s="3"/>
    </row>
    <row r="476" spans="1:5" ht="15.75" customHeight="1" x14ac:dyDescent="0.25">
      <c r="A476" s="3"/>
      <c r="B476" s="3"/>
      <c r="C476" s="3"/>
      <c r="D476" s="3"/>
      <c r="E476" s="3"/>
    </row>
    <row r="477" spans="1:5" ht="15.75" customHeight="1" x14ac:dyDescent="0.25">
      <c r="A477" s="3"/>
      <c r="B477" s="3"/>
      <c r="C477" s="3"/>
      <c r="D477" s="3"/>
      <c r="E477" s="3"/>
    </row>
    <row r="478" spans="1:5" ht="15.75" customHeight="1" x14ac:dyDescent="0.25">
      <c r="A478" s="3"/>
      <c r="B478" s="3"/>
      <c r="C478" s="3"/>
      <c r="D478" s="3"/>
      <c r="E478" s="3"/>
    </row>
    <row r="479" spans="1:5" ht="15.75" customHeight="1" x14ac:dyDescent="0.25">
      <c r="A479" s="3"/>
      <c r="B479" s="3"/>
      <c r="C479" s="3"/>
      <c r="D479" s="3"/>
      <c r="E479" s="3"/>
    </row>
    <row r="480" spans="1:5" ht="15.75" customHeight="1" x14ac:dyDescent="0.25">
      <c r="A480" s="3"/>
      <c r="B480" s="3"/>
      <c r="C480" s="3"/>
      <c r="D480" s="3"/>
      <c r="E480" s="3"/>
    </row>
    <row r="481" spans="1:5" ht="15.75" customHeight="1" x14ac:dyDescent="0.25">
      <c r="A481" s="3"/>
      <c r="B481" s="3"/>
      <c r="C481" s="3"/>
      <c r="D481" s="3"/>
      <c r="E481" s="3"/>
    </row>
    <row r="482" spans="1:5" ht="15.75" customHeight="1" x14ac:dyDescent="0.25">
      <c r="A482" s="3"/>
      <c r="B482" s="3"/>
      <c r="C482" s="3"/>
      <c r="D482" s="3"/>
      <c r="E482" s="3"/>
    </row>
    <row r="483" spans="1:5" ht="15.75" customHeight="1" x14ac:dyDescent="0.25">
      <c r="A483" s="3"/>
      <c r="B483" s="3"/>
      <c r="C483" s="3"/>
      <c r="D483" s="3"/>
      <c r="E483" s="3"/>
    </row>
    <row r="484" spans="1:5" ht="15.75" customHeight="1" x14ac:dyDescent="0.25">
      <c r="A484" s="3"/>
      <c r="B484" s="3"/>
      <c r="C484" s="3"/>
      <c r="D484" s="3"/>
      <c r="E484" s="3"/>
    </row>
    <row r="485" spans="1:5" ht="15.75" customHeight="1" x14ac:dyDescent="0.25">
      <c r="A485" s="3"/>
      <c r="B485" s="3"/>
      <c r="C485" s="3"/>
      <c r="D485" s="3"/>
      <c r="E485" s="3"/>
    </row>
    <row r="486" spans="1:5" ht="15.75" customHeight="1" x14ac:dyDescent="0.25">
      <c r="A486" s="3"/>
      <c r="B486" s="3"/>
      <c r="C486" s="3"/>
      <c r="D486" s="3"/>
      <c r="E486" s="3"/>
    </row>
    <row r="487" spans="1:5" ht="15.75" customHeight="1" x14ac:dyDescent="0.25">
      <c r="A487" s="3"/>
      <c r="B487" s="3"/>
      <c r="C487" s="3"/>
      <c r="D487" s="3"/>
      <c r="E487" s="3"/>
    </row>
    <row r="488" spans="1:5" ht="15.75" customHeight="1" x14ac:dyDescent="0.25">
      <c r="A488" s="3"/>
      <c r="B488" s="3"/>
      <c r="C488" s="3"/>
      <c r="D488" s="3"/>
      <c r="E488" s="3"/>
    </row>
    <row r="489" spans="1:5" ht="15.75" customHeight="1" x14ac:dyDescent="0.25">
      <c r="A489" s="3"/>
      <c r="B489" s="3"/>
      <c r="C489" s="3"/>
      <c r="D489" s="3"/>
      <c r="E489" s="3"/>
    </row>
    <row r="490" spans="1:5" ht="15.75" customHeight="1" x14ac:dyDescent="0.25">
      <c r="A490" s="3"/>
      <c r="B490" s="3"/>
      <c r="C490" s="3"/>
      <c r="D490" s="3"/>
      <c r="E490" s="3"/>
    </row>
    <row r="491" spans="1:5" ht="15.75" customHeight="1" x14ac:dyDescent="0.25">
      <c r="A491" s="3"/>
      <c r="B491" s="3"/>
      <c r="C491" s="3"/>
      <c r="D491" s="3"/>
      <c r="E491" s="3"/>
    </row>
    <row r="492" spans="1:5" ht="15.75" customHeight="1" x14ac:dyDescent="0.25">
      <c r="A492" s="3"/>
      <c r="B492" s="3"/>
      <c r="C492" s="3"/>
      <c r="D492" s="3"/>
      <c r="E492" s="3"/>
    </row>
    <row r="493" spans="1:5" ht="15.75" customHeight="1" x14ac:dyDescent="0.25">
      <c r="A493" s="3"/>
      <c r="B493" s="3"/>
      <c r="C493" s="3"/>
      <c r="D493" s="3"/>
      <c r="E493" s="3"/>
    </row>
    <row r="494" spans="1:5" ht="15.75" customHeight="1" x14ac:dyDescent="0.25">
      <c r="A494" s="3"/>
      <c r="B494" s="3"/>
      <c r="C494" s="3"/>
      <c r="D494" s="3"/>
      <c r="E494" s="3"/>
    </row>
    <row r="495" spans="1:5" ht="15.75" customHeight="1" x14ac:dyDescent="0.25">
      <c r="A495" s="3"/>
      <c r="B495" s="3"/>
      <c r="C495" s="3"/>
      <c r="D495" s="3"/>
      <c r="E495" s="3"/>
    </row>
    <row r="496" spans="1:5" ht="15.75" customHeight="1" x14ac:dyDescent="0.25">
      <c r="A496" s="3"/>
      <c r="B496" s="3"/>
      <c r="C496" s="3"/>
      <c r="D496" s="3"/>
      <c r="E496" s="3"/>
    </row>
    <row r="497" spans="1:5" ht="15.75" customHeight="1" x14ac:dyDescent="0.25">
      <c r="A497" s="3"/>
      <c r="B497" s="3"/>
      <c r="C497" s="3"/>
      <c r="D497" s="3"/>
      <c r="E497" s="3"/>
    </row>
    <row r="498" spans="1:5" ht="15.75" customHeight="1" x14ac:dyDescent="0.25">
      <c r="A498" s="3"/>
      <c r="B498" s="3"/>
      <c r="C498" s="3"/>
      <c r="D498" s="3"/>
      <c r="E498" s="3"/>
    </row>
    <row r="499" spans="1:5" ht="15.75" customHeight="1" x14ac:dyDescent="0.25">
      <c r="A499" s="3"/>
      <c r="B499" s="3"/>
      <c r="C499" s="3"/>
      <c r="D499" s="3"/>
      <c r="E499" s="3"/>
    </row>
    <row r="500" spans="1:5" ht="15.75" customHeight="1" x14ac:dyDescent="0.25">
      <c r="A500" s="3"/>
      <c r="B500" s="3"/>
      <c r="C500" s="3"/>
      <c r="D500" s="3"/>
      <c r="E500" s="3"/>
    </row>
    <row r="501" spans="1:5" ht="15.75" customHeight="1" x14ac:dyDescent="0.25">
      <c r="A501" s="3"/>
      <c r="B501" s="3"/>
      <c r="C501" s="3"/>
      <c r="D501" s="3"/>
      <c r="E501" s="3"/>
    </row>
    <row r="502" spans="1:5" ht="15.75" customHeight="1" x14ac:dyDescent="0.25">
      <c r="A502" s="3"/>
      <c r="B502" s="3"/>
      <c r="C502" s="3"/>
      <c r="D502" s="3"/>
      <c r="E502" s="3"/>
    </row>
    <row r="503" spans="1:5" ht="15.75" customHeight="1" x14ac:dyDescent="0.25">
      <c r="A503" s="3"/>
      <c r="B503" s="3"/>
      <c r="C503" s="3"/>
      <c r="D503" s="3"/>
      <c r="E503" s="3"/>
    </row>
    <row r="504" spans="1:5" ht="15.75" customHeight="1" x14ac:dyDescent="0.25">
      <c r="A504" s="3"/>
      <c r="B504" s="3"/>
      <c r="C504" s="3"/>
      <c r="D504" s="3"/>
      <c r="E504" s="3"/>
    </row>
    <row r="505" spans="1:5" ht="15.75" customHeight="1" x14ac:dyDescent="0.25">
      <c r="A505" s="3"/>
      <c r="B505" s="3"/>
      <c r="C505" s="3"/>
      <c r="D505" s="3"/>
      <c r="E505" s="3"/>
    </row>
    <row r="506" spans="1:5" ht="15.75" customHeight="1" x14ac:dyDescent="0.25">
      <c r="A506" s="3"/>
      <c r="B506" s="3"/>
      <c r="C506" s="3"/>
      <c r="D506" s="3"/>
      <c r="E506" s="3"/>
    </row>
    <row r="507" spans="1:5" ht="15.75" customHeight="1" x14ac:dyDescent="0.25"/>
    <row r="508" spans="1:5" ht="15.75" customHeight="1" x14ac:dyDescent="0.25"/>
    <row r="509" spans="1:5" ht="15.75" customHeight="1" x14ac:dyDescent="0.25"/>
    <row r="510" spans="1:5" ht="15.75" customHeight="1" x14ac:dyDescent="0.25"/>
    <row r="511" spans="1:5" ht="15.75" customHeight="1" x14ac:dyDescent="0.25"/>
    <row r="512" spans="1:5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</sheetData>
  <sortState xmlns:xlrd2="http://schemas.microsoft.com/office/spreadsheetml/2017/richdata2" ref="A2:Z1018">
    <sortCondition ref="B2:B1018"/>
  </sortState>
  <phoneticPr fontId="7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4" workbookViewId="0">
      <selection activeCell="A14" sqref="A14"/>
    </sheetView>
  </sheetViews>
  <sheetFormatPr defaultColWidth="12.5703125" defaultRowHeight="15" customHeight="1" x14ac:dyDescent="0.25"/>
  <cols>
    <col min="1" max="1" width="48.5703125" customWidth="1"/>
    <col min="2" max="6" width="9.140625" customWidth="1"/>
    <col min="7" max="26" width="8.5703125" customWidth="1"/>
  </cols>
  <sheetData>
    <row r="1" spans="1:26" ht="14.25" customHeight="1" x14ac:dyDescent="0.25">
      <c r="A1" s="10" t="s">
        <v>59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4.25" customHeight="1" x14ac:dyDescent="0.25">
      <c r="A2" s="10" t="s">
        <v>60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4.25" customHeight="1" x14ac:dyDescent="0.25">
      <c r="A3" s="10" t="s">
        <v>61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4.25" customHeight="1" x14ac:dyDescent="0.25">
      <c r="A4" s="10" t="s">
        <v>62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4.25" customHeight="1" x14ac:dyDescent="0.25">
      <c r="A5" s="10" t="s">
        <v>63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4.25" customHeight="1" x14ac:dyDescent="0.25">
      <c r="A6" s="10" t="s">
        <v>64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4.25" customHeight="1" x14ac:dyDescent="0.25">
      <c r="A7" s="10" t="s">
        <v>65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4.25" customHeight="1" x14ac:dyDescent="0.25">
      <c r="A8" s="10" t="s">
        <v>66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4.25" customHeight="1" x14ac:dyDescent="0.25">
      <c r="A9" s="10" t="s">
        <v>67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4.25" customHeight="1" x14ac:dyDescent="0.25">
      <c r="A10" s="10" t="s">
        <v>68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4.25" customHeight="1" x14ac:dyDescent="0.25">
      <c r="A11" s="10" t="s">
        <v>69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4.25" customHeight="1" x14ac:dyDescent="0.25">
      <c r="A12" s="10" t="s">
        <v>70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4.25" customHeight="1" x14ac:dyDescent="0.25">
      <c r="A13" s="10" t="s">
        <v>71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25" customHeight="1" x14ac:dyDescent="0.25">
      <c r="A14" s="10" t="s">
        <v>72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4.25" customHeight="1" x14ac:dyDescent="0.25">
      <c r="A15" s="10" t="s">
        <v>73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4.25" customHeight="1" x14ac:dyDescent="0.25">
      <c r="A16" s="10" t="s">
        <v>74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4.25" customHeight="1" x14ac:dyDescent="0.25">
      <c r="A17" s="10" t="s">
        <v>75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 customHeight="1" x14ac:dyDescent="0.25">
      <c r="A18" s="10" t="s">
        <v>76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4.25" customHeight="1" x14ac:dyDescent="0.25">
      <c r="A19" s="10" t="s">
        <v>77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25" customHeight="1" x14ac:dyDescent="0.25">
      <c r="A20" s="10" t="s">
        <v>78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4.25" customHeight="1" x14ac:dyDescent="0.25">
      <c r="A21" s="10" t="s">
        <v>79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 customHeight="1" x14ac:dyDescent="0.25">
      <c r="A22" s="10" t="s">
        <v>80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4.25" customHeight="1" x14ac:dyDescent="0.25">
      <c r="A23" s="10" t="s">
        <v>81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4.25" customHeight="1" x14ac:dyDescent="0.25">
      <c r="A24" s="10" t="s">
        <v>82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4.25" customHeight="1" x14ac:dyDescent="0.25">
      <c r="A25" s="10" t="s">
        <v>83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4.25" customHeight="1" x14ac:dyDescent="0.25">
      <c r="A26" s="10" t="s">
        <v>84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 customHeight="1" x14ac:dyDescent="0.25">
      <c r="A27" s="10" t="s">
        <v>85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4.25" customHeight="1" x14ac:dyDescent="0.25">
      <c r="A28" s="10" t="s">
        <v>86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4.25" customHeight="1" x14ac:dyDescent="0.25">
      <c r="A29" s="10" t="s">
        <v>87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4.25" customHeight="1" x14ac:dyDescent="0.25">
      <c r="A30" s="10" t="s">
        <v>88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4.25" customHeight="1" x14ac:dyDescent="0.25">
      <c r="A31" s="10" t="s">
        <v>89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4.25" customHeight="1" x14ac:dyDescent="0.25">
      <c r="A32" s="10" t="s">
        <v>90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4.25" customHeight="1" x14ac:dyDescent="0.25">
      <c r="A33" s="10" t="s">
        <v>91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4.25" customHeight="1" x14ac:dyDescent="0.25">
      <c r="A34" s="10" t="s">
        <v>92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4.25" customHeight="1" x14ac:dyDescent="0.25">
      <c r="A35" s="10" t="s">
        <v>93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4.25" customHeight="1" x14ac:dyDescent="0.25">
      <c r="A36" s="10" t="s">
        <v>94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4.25" customHeight="1" x14ac:dyDescent="0.25">
      <c r="A37" s="10" t="s">
        <v>95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4.25" customHeight="1" x14ac:dyDescent="0.25">
      <c r="A38" s="10" t="s">
        <v>96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4.25" customHeight="1" x14ac:dyDescent="0.25">
      <c r="A39" s="10" t="s">
        <v>97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4.25" customHeight="1" x14ac:dyDescent="0.25">
      <c r="A40" s="10" t="s">
        <v>98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4.25" customHeight="1" x14ac:dyDescent="0.25">
      <c r="A41" s="10" t="s">
        <v>99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4.25" customHeight="1" x14ac:dyDescent="0.25">
      <c r="A42" s="10" t="s">
        <v>100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4.25" customHeight="1" x14ac:dyDescent="0.25">
      <c r="A43" s="10" t="s">
        <v>101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4.25" customHeight="1" x14ac:dyDescent="0.25">
      <c r="A44" s="10" t="s">
        <v>102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4.25" customHeight="1" x14ac:dyDescent="0.25">
      <c r="A45" s="10" t="s">
        <v>103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4.25" customHeight="1" x14ac:dyDescent="0.25">
      <c r="A46" s="10" t="s">
        <v>104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4.25" customHeight="1" x14ac:dyDescent="0.25">
      <c r="A47" s="10" t="s">
        <v>105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4.25" customHeight="1" x14ac:dyDescent="0.25">
      <c r="A48" s="10" t="s">
        <v>106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4.25" customHeight="1" x14ac:dyDescent="0.25">
      <c r="A49" s="10" t="s">
        <v>107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25" customHeight="1" x14ac:dyDescent="0.25">
      <c r="A50" s="10" t="s">
        <v>108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4.25" customHeight="1" x14ac:dyDescent="0.25">
      <c r="A51" s="10" t="s">
        <v>109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4.25" customHeight="1" x14ac:dyDescent="0.25">
      <c r="A52" s="10" t="s">
        <v>110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4.25" customHeight="1" x14ac:dyDescent="0.25">
      <c r="A53" s="10" t="s">
        <v>111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4.25" customHeight="1" x14ac:dyDescent="0.25">
      <c r="A54" s="10" t="s">
        <v>112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4.25" customHeight="1" x14ac:dyDescent="0.25">
      <c r="A55" s="10" t="s">
        <v>113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4.25" customHeight="1" x14ac:dyDescent="0.25">
      <c r="A56" s="10" t="s">
        <v>114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4.25" customHeight="1" x14ac:dyDescent="0.25">
      <c r="A57" s="10" t="s">
        <v>115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25" customHeight="1" x14ac:dyDescent="0.25">
      <c r="A58" s="10" t="s">
        <v>116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4.25" customHeight="1" x14ac:dyDescent="0.25">
      <c r="A59" s="10" t="s">
        <v>117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4.25" customHeight="1" x14ac:dyDescent="0.25">
      <c r="A60" s="10" t="s">
        <v>118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4.25" customHeight="1" x14ac:dyDescent="0.25">
      <c r="A61" s="10" t="s">
        <v>119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4.25" customHeight="1" x14ac:dyDescent="0.25">
      <c r="A62" s="10" t="s">
        <v>120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4.25" customHeight="1" x14ac:dyDescent="0.25">
      <c r="A63" s="10" t="s">
        <v>121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4.25" customHeight="1" x14ac:dyDescent="0.25">
      <c r="A64" s="10" t="s">
        <v>122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4.25" customHeight="1" x14ac:dyDescent="0.25">
      <c r="A65" s="10" t="s">
        <v>123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4.25" customHeight="1" x14ac:dyDescent="0.25">
      <c r="A66" s="10" t="s">
        <v>124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4.25" customHeight="1" x14ac:dyDescent="0.25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4.2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4.2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2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2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2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2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4.2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2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4.2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4.2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4.2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2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2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2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4.2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4.2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4.2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4.2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4.2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4.2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4.2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4.2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4.2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4.2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4.2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4.2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4.2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4.2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4.2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4.2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4.2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4.2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4.2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4.2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4.2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4.2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4.2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4.2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4.2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4.2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4.2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4.2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4.2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4.2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4.2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4.2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4.2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4.2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4.2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4.2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4.2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4.2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4.2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4.2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4.2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4.2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4.2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4.2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4.2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4.2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4.2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4.2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4.2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4.2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4.2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4.2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4.2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4.2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4.2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4.2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4.2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4.2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4.2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4.2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4.2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4.2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4.2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4.2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4.2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4.2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4.2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4.2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4.2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4.2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4.2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4.2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4.2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4.2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4.2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4.2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4.2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4.2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4.2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4.2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4.2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4.2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4.2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4.2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4.2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4.2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4.2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4.2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4.2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4.2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4.2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4.2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4.2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4.2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4.2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4.2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4.2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4.2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4.2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4.2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4.2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4.2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4.2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4.2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4.2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4.2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4.2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4.2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4.2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4.2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4.2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4.2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4.2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4.2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4.2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4.2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4.2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4.2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4.2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4.2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4.2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4.2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4.2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4.2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4.2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4.2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4.2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4.2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4.2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4.2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4.2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4.2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4.2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4.2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4.2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4.2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4.2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4.2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4.2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4.2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4.2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4.2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4.2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4.2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4.2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4.2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4.2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4.2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4.2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4.2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4.2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4.2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4.2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4.2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4.2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4.2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4.2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4.2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4.2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4.2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4.2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4.2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4.2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4.2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4.2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4.2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4.2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4.2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4.2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4.2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4.2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4.2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4.2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4.2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4.2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4.2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4.2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4.2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4.2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4.2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4.2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4.2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4.2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4.2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4.2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4.2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4.2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4.2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4.2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4.2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4.2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4.2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4.2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4.2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4.2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4.2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4.2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4.2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4.2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4.2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4.2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4.2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4.2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4.2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4.2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4.2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4.2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4.2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4.2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4.2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4.2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4.2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4.2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4.2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4.2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4.2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4.2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4.2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4.2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4.2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4.2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4.2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4.2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4.2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4.2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4.2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4.2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4.2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4.2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4.2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4.2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4.2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4.2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4.2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4.2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4.2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4.2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4.2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4.2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4.2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4.2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4.2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4.2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4.2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4.2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4.2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4.2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4.2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4.2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4.2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4.2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4.2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4.2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4.2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4.2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4.2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4.2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4.2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4.2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4.2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4.2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4.2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4.2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4.2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4.2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4.2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4.2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4.2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4.2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4.2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4.2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4.2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4.2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4.2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4.2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4.2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4.2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4.2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4.2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4.2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4.2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4.2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4.2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4.2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4.2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4.2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4.2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4.2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4.2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4.2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4.2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4.2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4.2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4.2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4.2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4.2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4.2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4.2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4.2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4.2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4.2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4.2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4.2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4.2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4.2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4.2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4.2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4.2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4.2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4.2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4.2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4.2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4.2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4.2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4.2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4.2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4.2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4.2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4.2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4.2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4.2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4.2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4.2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4.2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4.2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4.2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4.2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4.2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4.2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4.2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4.2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4.2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4.2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4.2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4.2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4.2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4.2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4.2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4.2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4.2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4.2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4.2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4.2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4.2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4.2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4.2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4.2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4.2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4.2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4.2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4.2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4.2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4.2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4.2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4.2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4.2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4.2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4.2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4.2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4.2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4.2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4.2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4.2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4.2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4.2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4.2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4.2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4.2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4.2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4.2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4.2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4.2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4.2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4.2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4.2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4.2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4.2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4.2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4.2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4.2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4.2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4.2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4.2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4.2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4.2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4.2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4.2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4.2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4.2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4.2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4.2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4.2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4.2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4.2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4.2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4.2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4.2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4.2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4.2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4.2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4.2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4.2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4.2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4.2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4.2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4.2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4.2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4.2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4.2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4.2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4.2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4.2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4.2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4.2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4.2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4.2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4.2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4.2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4.2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4.2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4.2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4.2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4.2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4.2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4.2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4.2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4.2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4.2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4.2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4.2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4.2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4.2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4.2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4.2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4.2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4.2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4.2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4.2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4.2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4.2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4.2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4.2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4.2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4.2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4.2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4.2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4.2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4.2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4.2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4.2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4.2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4.2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4.2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4.2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4.2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4.2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4.2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4.2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4.2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4.2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4.2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4.2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4.2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4.2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4.2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4.2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4.2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4.2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4.2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4.2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4.2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4.2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4.2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4.2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4.2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4.2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4.2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4.2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4.2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4.2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4.2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4.2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4.2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4.2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4.2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4.2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4.2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4.2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4.2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4.2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4.2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4.2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4.2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4.2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4.2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4.2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4.2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4.2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4.2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4.2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4.2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4.2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4.2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4.2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4.2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4.2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4.2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4.2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4.2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4.2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4.2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4.2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4.2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4.2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4.2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4.2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4.2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4.2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4.2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4.2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4.2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4.2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4.2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4.2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4.2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4.2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4.2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4.2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4.2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4.2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4.2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4.2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4.2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4.2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4.2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4.2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4.2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4.2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4.2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4.2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4.2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4.2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4.2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4.2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4.2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4.2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4.2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4.2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4.2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4.2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4.2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4.2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4.2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4.2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4.2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4.2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4.2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4.2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4.2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4.2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4.2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4.2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4.2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4.2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4.2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4.2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4.2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4.2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4.2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4.2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4.2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4.2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4.2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4.2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4.2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4.2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4.2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4.2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4.2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4.2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4.2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4.2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4.2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4.2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4.2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4.2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4.2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4.2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4.2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4.2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4.2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4.2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4.2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4.2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4.2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4.2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4.2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4.2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4.2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4.2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4.2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4.2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4.2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4.2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4.2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4.2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4.2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4.2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4.2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4.2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4.2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4.2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4.2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4.2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4.2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4.2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4.2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4.2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4.2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4.2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4.2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4.2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4.2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4.2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4.2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4.2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4.2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4.2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4.2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4.2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4.2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4.2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4.2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4.2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4.2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4.2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4.2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4.2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4.2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4.2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4.2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4.2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4.2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4.2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4.2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4.2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4.2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4.2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4.2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4.2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4.2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4.2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4.2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4.2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4.2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4.2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4.2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4.2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4.2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4.2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4.2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4.2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4.2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4.2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4.2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4.2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4.2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4.2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4.2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4.2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4.2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4.2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4.2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4.2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4.2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4.2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4.2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4.2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4.2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4.2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4.2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4.2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4.2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4.2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4.2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4.2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4.2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4.2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4.2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4.2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4.2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4.2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4.2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4.2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4.2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4.2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4.2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4.2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4.2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4.2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4.2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4.2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4.2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4.2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4.2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4.2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4.2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4.2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4.2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4.2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4.2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4.2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4.2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4.2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4.2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4.2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4.2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4.2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4.2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4.2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4.2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4.2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4.2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4.2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4.2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4.2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4.2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4.2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4.2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4.2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4.2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4.2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4.2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4.2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4.2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4.2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4.2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4.2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4.2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4.2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4.2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4.2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4.2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4.2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4.2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4.2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4.2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4.2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4.2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4.2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4.2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4.2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4.2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4.2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4.2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4.2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4.2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4.2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4.2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4.2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4.2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4.2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4.2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4.2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4.2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4.2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4.2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4.2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4.2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4.2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4.2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4.2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4.2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4.2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4.2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4.2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4.2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4.2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4.2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4.2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4.2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4.2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4.2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4.2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4.2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4.2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4.2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4.2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4.2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4.2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4.2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4.2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4.2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4.2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4.2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4.2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4.2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4.2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4.2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4.2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4.2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4.2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4.2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4.2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4.2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4.2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4.2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4.2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4.2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4.2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4.2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4.2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4.2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4.2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4.2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4.2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4.2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4.2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4.2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4.2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4.2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4.2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4.2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4.2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4.2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4.2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4.2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4.2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4.2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4.2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4.2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4.2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4.2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4.2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4.2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4.2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4.2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4.2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4.2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4.2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4.2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4.2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4.2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4.2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4.2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4.2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4.2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4.2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4.2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4.2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4.2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4.2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4.2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4.2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4.2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4.2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4.2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4.2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4.2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4.2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4.2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4.2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4.2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4.2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4.2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4.2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4.2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4.2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4.2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4.2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4.2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4.2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4.2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4.2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4.2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4.2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4.2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4.2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4.2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4.2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4.2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4.2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4.2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4.2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4.2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4.2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4.2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4.2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4.2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4.2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4.2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4.2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4.2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4.2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4.2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4.2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4.2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4.2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4.2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4.2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4.2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4.2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4.2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4.2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4.2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4.2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4.2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4.2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4.2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4.2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4.2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4.2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4.2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5"/>
  <cols>
    <col min="1" max="1" width="32.7109375" customWidth="1"/>
    <col min="2" max="2" width="110.28515625" customWidth="1"/>
    <col min="3" max="26" width="3" customWidth="1"/>
    <col min="27" max="27" width="9.140625" customWidth="1"/>
  </cols>
  <sheetData>
    <row r="1" spans="1:27" ht="136.5" customHeight="1" x14ac:dyDescent="0.25">
      <c r="A1" s="11" t="s">
        <v>2</v>
      </c>
      <c r="B1" s="11" t="s">
        <v>5</v>
      </c>
      <c r="C1" s="12" t="s">
        <v>125</v>
      </c>
      <c r="D1" s="12" t="s">
        <v>126</v>
      </c>
      <c r="E1" s="12" t="s">
        <v>127</v>
      </c>
      <c r="F1" s="12" t="s">
        <v>128</v>
      </c>
      <c r="G1" s="12" t="s">
        <v>129</v>
      </c>
      <c r="H1" s="12" t="s">
        <v>130</v>
      </c>
      <c r="I1" s="12" t="s">
        <v>131</v>
      </c>
      <c r="J1" s="12" t="s">
        <v>132</v>
      </c>
      <c r="K1" s="12" t="s">
        <v>133</v>
      </c>
      <c r="L1" s="12" t="s">
        <v>134</v>
      </c>
      <c r="M1" s="12" t="s">
        <v>135</v>
      </c>
      <c r="N1" s="12" t="s">
        <v>136</v>
      </c>
      <c r="O1" s="12" t="s">
        <v>137</v>
      </c>
      <c r="P1" s="12" t="s">
        <v>138</v>
      </c>
      <c r="Q1" s="12" t="s">
        <v>29</v>
      </c>
      <c r="R1" s="12" t="s">
        <v>139</v>
      </c>
      <c r="S1" s="12" t="s">
        <v>140</v>
      </c>
      <c r="T1" s="12" t="s">
        <v>141</v>
      </c>
      <c r="U1" s="12" t="s">
        <v>142</v>
      </c>
      <c r="V1" s="12" t="s">
        <v>143</v>
      </c>
      <c r="W1" s="12" t="s">
        <v>144</v>
      </c>
      <c r="X1" s="12" t="s">
        <v>145</v>
      </c>
      <c r="Y1" s="12" t="s">
        <v>146</v>
      </c>
      <c r="Z1" s="12"/>
      <c r="AA1" s="12"/>
    </row>
    <row r="2" spans="1:27" ht="15.75" customHeight="1" x14ac:dyDescent="0.25">
      <c r="A2" s="10" t="s">
        <v>28</v>
      </c>
      <c r="B2" s="10" t="s">
        <v>147</v>
      </c>
      <c r="C2" s="11" t="s">
        <v>148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 t="s">
        <v>148</v>
      </c>
      <c r="S2" s="11"/>
      <c r="T2" s="11"/>
      <c r="U2" s="11"/>
      <c r="V2" s="11"/>
      <c r="W2" s="11"/>
      <c r="X2" s="11" t="s">
        <v>148</v>
      </c>
      <c r="Y2" s="11"/>
      <c r="Z2" s="11"/>
      <c r="AA2" s="11" t="e">
        <f t="shared" ref="AA2:AA34" ca="1" si="0">_xludf.CONCAT(B2,".")</f>
        <v>#NAME?</v>
      </c>
    </row>
    <row r="3" spans="1:27" ht="15.75" customHeight="1" x14ac:dyDescent="0.25">
      <c r="A3" s="6" t="s">
        <v>31</v>
      </c>
      <c r="B3" s="10" t="s">
        <v>149</v>
      </c>
      <c r="C3" s="11"/>
      <c r="D3" s="11"/>
      <c r="E3" s="11"/>
      <c r="F3" s="11"/>
      <c r="G3" s="11" t="s">
        <v>148</v>
      </c>
      <c r="H3" s="11" t="s">
        <v>148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 t="e">
        <f t="shared" ca="1" si="0"/>
        <v>#NAME?</v>
      </c>
    </row>
    <row r="4" spans="1:27" ht="15.75" customHeight="1" x14ac:dyDescent="0.25">
      <c r="A4" s="10" t="s">
        <v>47</v>
      </c>
      <c r="B4" s="10" t="s">
        <v>150</v>
      </c>
      <c r="C4" s="11" t="s">
        <v>148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 t="s">
        <v>148</v>
      </c>
      <c r="S4" s="11"/>
      <c r="T4" s="11"/>
      <c r="U4" s="11"/>
      <c r="V4" s="11"/>
      <c r="W4" s="11"/>
      <c r="X4" s="11"/>
      <c r="Y4" s="11"/>
      <c r="Z4" s="11"/>
      <c r="AA4" s="11" t="e">
        <f t="shared" ca="1" si="0"/>
        <v>#NAME?</v>
      </c>
    </row>
    <row r="5" spans="1:27" ht="15.75" customHeight="1" x14ac:dyDescent="0.25">
      <c r="A5" s="6" t="s">
        <v>49</v>
      </c>
      <c r="B5" s="10" t="s">
        <v>151</v>
      </c>
      <c r="C5" s="11" t="s">
        <v>148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 t="s">
        <v>148</v>
      </c>
      <c r="S5" s="11"/>
      <c r="T5" s="11"/>
      <c r="U5" s="11"/>
      <c r="V5" s="11"/>
      <c r="W5" s="11"/>
      <c r="X5" s="11"/>
      <c r="Y5" s="11"/>
      <c r="Z5" s="11"/>
      <c r="AA5" s="11" t="e">
        <f t="shared" ca="1" si="0"/>
        <v>#NAME?</v>
      </c>
    </row>
    <row r="6" spans="1:27" ht="15.75" customHeight="1" x14ac:dyDescent="0.25">
      <c r="A6" s="6" t="s">
        <v>48</v>
      </c>
      <c r="B6" s="10" t="s">
        <v>152</v>
      </c>
      <c r="C6" s="11"/>
      <c r="D6" s="11"/>
      <c r="E6" s="11"/>
      <c r="F6" s="11"/>
      <c r="G6" s="11"/>
      <c r="H6" s="11"/>
      <c r="I6" s="11"/>
      <c r="J6" s="11" t="s">
        <v>148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 t="e">
        <f t="shared" ca="1" si="0"/>
        <v>#NAME?</v>
      </c>
    </row>
    <row r="7" spans="1:27" ht="15.75" customHeight="1" x14ac:dyDescent="0.25">
      <c r="A7" s="6" t="s">
        <v>15</v>
      </c>
      <c r="B7" s="10" t="s">
        <v>153</v>
      </c>
      <c r="C7" s="11"/>
      <c r="D7" s="11"/>
      <c r="E7" s="11"/>
      <c r="F7" s="11"/>
      <c r="G7" s="11"/>
      <c r="H7" s="11"/>
      <c r="I7" s="11"/>
      <c r="J7" s="11"/>
      <c r="K7" s="11" t="s">
        <v>148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 t="s">
        <v>148</v>
      </c>
      <c r="Z7" s="11"/>
      <c r="AA7" s="11" t="e">
        <f t="shared" ca="1" si="0"/>
        <v>#NAME?</v>
      </c>
    </row>
    <row r="8" spans="1:27" ht="15.75" customHeight="1" x14ac:dyDescent="0.25">
      <c r="A8" s="6" t="s">
        <v>24</v>
      </c>
      <c r="B8" s="10" t="s">
        <v>154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 t="s">
        <v>148</v>
      </c>
      <c r="Y8" s="11"/>
      <c r="Z8" s="11"/>
      <c r="AA8" s="11" t="e">
        <f t="shared" ca="1" si="0"/>
        <v>#NAME?</v>
      </c>
    </row>
    <row r="9" spans="1:27" ht="15.75" customHeight="1" x14ac:dyDescent="0.25">
      <c r="A9" s="6" t="s">
        <v>36</v>
      </c>
      <c r="B9" s="10" t="s">
        <v>154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 t="s">
        <v>148</v>
      </c>
      <c r="Z9" s="11"/>
      <c r="AA9" s="11" t="e">
        <f t="shared" ca="1" si="0"/>
        <v>#NAME?</v>
      </c>
    </row>
    <row r="10" spans="1:27" ht="15.75" customHeight="1" x14ac:dyDescent="0.25">
      <c r="A10" s="10" t="s">
        <v>29</v>
      </c>
      <c r="B10" s="10" t="s">
        <v>155</v>
      </c>
      <c r="C10" s="11"/>
      <c r="D10" s="11"/>
      <c r="E10" s="11"/>
      <c r="F10" s="11"/>
      <c r="G10" s="11"/>
      <c r="H10" s="11"/>
      <c r="I10" s="11"/>
      <c r="J10" s="11"/>
      <c r="K10" s="11"/>
      <c r="L10" s="11" t="s">
        <v>148</v>
      </c>
      <c r="M10" s="11"/>
      <c r="N10" s="11"/>
      <c r="O10" s="11"/>
      <c r="P10" s="11"/>
      <c r="Q10" s="11" t="s">
        <v>148</v>
      </c>
      <c r="R10" s="11"/>
      <c r="S10" s="11"/>
      <c r="T10" s="11"/>
      <c r="U10" s="11"/>
      <c r="V10" s="11"/>
      <c r="W10" s="11"/>
      <c r="X10" s="11"/>
      <c r="Y10" s="11"/>
      <c r="Z10" s="11"/>
      <c r="AA10" s="11" t="e">
        <f t="shared" ca="1" si="0"/>
        <v>#NAME?</v>
      </c>
    </row>
    <row r="11" spans="1:27" ht="15.75" customHeight="1" x14ac:dyDescent="0.25">
      <c r="A11" s="6" t="s">
        <v>38</v>
      </c>
      <c r="B11" s="10" t="s">
        <v>156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 t="s">
        <v>148</v>
      </c>
      <c r="Y11" s="11"/>
      <c r="Z11" s="11"/>
      <c r="AA11" s="11" t="e">
        <f t="shared" ca="1" si="0"/>
        <v>#NAME?</v>
      </c>
    </row>
    <row r="12" spans="1:27" ht="15.75" customHeight="1" x14ac:dyDescent="0.25">
      <c r="A12" s="6" t="s">
        <v>56</v>
      </c>
      <c r="B12" s="10" t="s">
        <v>157</v>
      </c>
      <c r="C12" s="11" t="s">
        <v>148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 t="s">
        <v>148</v>
      </c>
      <c r="T12" s="11"/>
      <c r="U12" s="11"/>
      <c r="V12" s="11"/>
      <c r="W12" s="11"/>
      <c r="X12" s="11"/>
      <c r="Y12" s="11"/>
      <c r="Z12" s="11"/>
      <c r="AA12" s="11" t="e">
        <f t="shared" ca="1" si="0"/>
        <v>#NAME?</v>
      </c>
    </row>
    <row r="13" spans="1:27" ht="15.75" customHeight="1" x14ac:dyDescent="0.25">
      <c r="A13" s="6" t="s">
        <v>43</v>
      </c>
      <c r="B13" s="10" t="s">
        <v>158</v>
      </c>
      <c r="C13" s="11"/>
      <c r="D13" s="11"/>
      <c r="E13" s="11" t="s">
        <v>148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 t="s">
        <v>148</v>
      </c>
      <c r="U13" s="11"/>
      <c r="V13" s="11"/>
      <c r="W13" s="11"/>
      <c r="X13" s="11"/>
      <c r="Y13" s="11"/>
      <c r="Z13" s="11"/>
      <c r="AA13" s="11" t="e">
        <f t="shared" ca="1" si="0"/>
        <v>#NAME?</v>
      </c>
    </row>
    <row r="14" spans="1:27" ht="15.75" customHeight="1" x14ac:dyDescent="0.25">
      <c r="A14" s="6" t="s">
        <v>53</v>
      </c>
      <c r="B14" s="10" t="s">
        <v>159</v>
      </c>
      <c r="C14" s="11" t="s">
        <v>148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 t="s">
        <v>148</v>
      </c>
      <c r="S14" s="11"/>
      <c r="T14" s="11"/>
      <c r="U14" s="11" t="s">
        <v>148</v>
      </c>
      <c r="V14" s="11" t="s">
        <v>148</v>
      </c>
      <c r="W14" s="11"/>
      <c r="X14" s="11"/>
      <c r="Y14" s="11"/>
      <c r="Z14" s="11"/>
      <c r="AA14" s="11" t="e">
        <f t="shared" ca="1" si="0"/>
        <v>#NAME?</v>
      </c>
    </row>
    <row r="15" spans="1:27" ht="15.75" customHeight="1" x14ac:dyDescent="0.25">
      <c r="A15" s="6" t="s">
        <v>54</v>
      </c>
      <c r="B15" s="10" t="s">
        <v>160</v>
      </c>
      <c r="C15" s="11" t="s">
        <v>148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 t="s">
        <v>148</v>
      </c>
      <c r="S15" s="11"/>
      <c r="T15" s="11"/>
      <c r="U15" s="11" t="s">
        <v>148</v>
      </c>
      <c r="V15" s="11" t="s">
        <v>148</v>
      </c>
      <c r="W15" s="11"/>
      <c r="X15" s="11"/>
      <c r="Y15" s="11"/>
      <c r="Z15" s="11"/>
      <c r="AA15" s="11" t="e">
        <f t="shared" ca="1" si="0"/>
        <v>#NAME?</v>
      </c>
    </row>
    <row r="16" spans="1:27" ht="15.75" customHeight="1" x14ac:dyDescent="0.25">
      <c r="A16" s="10" t="s">
        <v>33</v>
      </c>
      <c r="B16" s="10" t="s">
        <v>161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 t="s">
        <v>148</v>
      </c>
      <c r="N16" s="11"/>
      <c r="O16" s="11"/>
      <c r="P16" s="11"/>
      <c r="Q16" s="11"/>
      <c r="R16" s="11" t="s">
        <v>148</v>
      </c>
      <c r="S16" s="11"/>
      <c r="T16" s="11"/>
      <c r="U16" s="11"/>
      <c r="V16" s="11"/>
      <c r="W16" s="11"/>
      <c r="X16" s="11"/>
      <c r="Y16" s="11"/>
      <c r="Z16" s="11"/>
      <c r="AA16" s="11" t="e">
        <f t="shared" ca="1" si="0"/>
        <v>#NAME?</v>
      </c>
    </row>
    <row r="17" spans="1:27" ht="15.75" customHeight="1" x14ac:dyDescent="0.25">
      <c r="A17" s="6" t="s">
        <v>26</v>
      </c>
      <c r="B17" s="10" t="s">
        <v>162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 t="s">
        <v>148</v>
      </c>
      <c r="N17" s="11"/>
      <c r="O17" s="11"/>
      <c r="P17" s="11"/>
      <c r="Q17" s="11"/>
      <c r="R17" s="11" t="s">
        <v>148</v>
      </c>
      <c r="S17" s="11"/>
      <c r="T17" s="11"/>
      <c r="U17" s="11"/>
      <c r="V17" s="11"/>
      <c r="W17" s="11"/>
      <c r="X17" s="11"/>
      <c r="Y17" s="11"/>
      <c r="Z17" s="11"/>
      <c r="AA17" s="11" t="e">
        <f t="shared" ca="1" si="0"/>
        <v>#NAME?</v>
      </c>
    </row>
    <row r="18" spans="1:27" ht="15.75" customHeight="1" x14ac:dyDescent="0.25">
      <c r="A18" s="6" t="s">
        <v>55</v>
      </c>
      <c r="B18" s="10" t="s">
        <v>162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 t="s">
        <v>148</v>
      </c>
      <c r="N18" s="11"/>
      <c r="O18" s="11"/>
      <c r="P18" s="11"/>
      <c r="Q18" s="11"/>
      <c r="R18" s="11" t="s">
        <v>148</v>
      </c>
      <c r="S18" s="11"/>
      <c r="T18" s="11"/>
      <c r="U18" s="11"/>
      <c r="V18" s="11"/>
      <c r="W18" s="11"/>
      <c r="X18" s="11"/>
      <c r="Y18" s="11"/>
      <c r="Z18" s="11"/>
      <c r="AA18" s="11" t="e">
        <f t="shared" ca="1" si="0"/>
        <v>#NAME?</v>
      </c>
    </row>
    <row r="19" spans="1:27" ht="15.75" customHeight="1" x14ac:dyDescent="0.25">
      <c r="A19" s="6" t="s">
        <v>16</v>
      </c>
      <c r="B19" s="10" t="s">
        <v>163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 t="s">
        <v>148</v>
      </c>
      <c r="O19" s="11" t="s">
        <v>148</v>
      </c>
      <c r="P19" s="11"/>
      <c r="Q19" s="11"/>
      <c r="R19" s="11"/>
      <c r="S19" s="11"/>
      <c r="T19" s="11"/>
      <c r="U19" s="11"/>
      <c r="V19" s="11"/>
      <c r="W19" s="11" t="s">
        <v>148</v>
      </c>
      <c r="X19" s="11"/>
      <c r="Y19" s="11"/>
      <c r="Z19" s="11"/>
      <c r="AA19" s="11" t="e">
        <f t="shared" ca="1" si="0"/>
        <v>#NAME?</v>
      </c>
    </row>
    <row r="20" spans="1:27" ht="15.75" customHeight="1" x14ac:dyDescent="0.25">
      <c r="A20" s="6" t="s">
        <v>44</v>
      </c>
      <c r="B20" s="10" t="s">
        <v>164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 t="e">
        <f t="shared" ca="1" si="0"/>
        <v>#NAME?</v>
      </c>
    </row>
    <row r="21" spans="1:27" ht="15.75" customHeight="1" x14ac:dyDescent="0.25">
      <c r="A21" s="6" t="s">
        <v>39</v>
      </c>
      <c r="B21" s="10" t="s">
        <v>165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 t="e">
        <f t="shared" ca="1" si="0"/>
        <v>#NAME?</v>
      </c>
    </row>
    <row r="22" spans="1:27" ht="15.75" customHeight="1" x14ac:dyDescent="0.25">
      <c r="A22" s="10" t="s">
        <v>17</v>
      </c>
      <c r="B22" s="10" t="s">
        <v>166</v>
      </c>
      <c r="C22" s="11"/>
      <c r="D22" s="11"/>
      <c r="E22" s="11"/>
      <c r="F22" s="11" t="s">
        <v>148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 t="e">
        <f t="shared" ca="1" si="0"/>
        <v>#NAME?</v>
      </c>
    </row>
    <row r="23" spans="1:27" ht="15.75" customHeight="1" x14ac:dyDescent="0.25">
      <c r="A23" s="6" t="s">
        <v>34</v>
      </c>
      <c r="B23" s="10" t="s">
        <v>167</v>
      </c>
      <c r="C23" s="11"/>
      <c r="D23" s="11"/>
      <c r="E23" s="11"/>
      <c r="F23" s="11" t="s">
        <v>148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 t="e">
        <f t="shared" ca="1" si="0"/>
        <v>#NAME?</v>
      </c>
    </row>
    <row r="24" spans="1:27" ht="15.75" customHeight="1" x14ac:dyDescent="0.25">
      <c r="A24" s="10" t="s">
        <v>13</v>
      </c>
      <c r="B24" s="10" t="s">
        <v>168</v>
      </c>
      <c r="C24" s="11"/>
      <c r="D24" s="11" t="s">
        <v>148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 t="e">
        <f t="shared" ca="1" si="0"/>
        <v>#NAME?</v>
      </c>
    </row>
    <row r="25" spans="1:27" ht="15.75" customHeight="1" x14ac:dyDescent="0.25">
      <c r="A25" s="10" t="s">
        <v>35</v>
      </c>
      <c r="B25" s="10" t="s">
        <v>169</v>
      </c>
      <c r="C25" s="11"/>
      <c r="D25" s="11"/>
      <c r="E25" s="11"/>
      <c r="F25" s="11"/>
      <c r="G25" s="11"/>
      <c r="H25" s="11"/>
      <c r="I25" s="11" t="s">
        <v>148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 t="e">
        <f t="shared" ca="1" si="0"/>
        <v>#NAME?</v>
      </c>
    </row>
    <row r="26" spans="1:27" ht="15.75" customHeight="1" x14ac:dyDescent="0.25">
      <c r="A26" s="10" t="s">
        <v>30</v>
      </c>
      <c r="B26" s="10" t="s">
        <v>169</v>
      </c>
      <c r="C26" s="11"/>
      <c r="D26" s="11"/>
      <c r="E26" s="11"/>
      <c r="F26" s="11"/>
      <c r="G26" s="11"/>
      <c r="H26" s="11"/>
      <c r="I26" s="11" t="s">
        <v>148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 t="e">
        <f t="shared" ca="1" si="0"/>
        <v>#NAME?</v>
      </c>
    </row>
    <row r="27" spans="1:27" ht="15.75" customHeight="1" x14ac:dyDescent="0.25">
      <c r="A27" s="6" t="s">
        <v>22</v>
      </c>
      <c r="B27" s="10" t="s">
        <v>170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 t="s">
        <v>148</v>
      </c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 t="e">
        <f t="shared" ca="1" si="0"/>
        <v>#NAME?</v>
      </c>
    </row>
    <row r="28" spans="1:27" ht="15.75" customHeight="1" x14ac:dyDescent="0.25">
      <c r="A28" s="10" t="s">
        <v>51</v>
      </c>
      <c r="B28" s="10" t="s">
        <v>171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 t="e">
        <f t="shared" ca="1" si="0"/>
        <v>#NAME?</v>
      </c>
    </row>
    <row r="29" spans="1:27" ht="15.75" customHeight="1" x14ac:dyDescent="0.25">
      <c r="A29" s="6" t="s">
        <v>45</v>
      </c>
      <c r="B29" s="10" t="s">
        <v>172</v>
      </c>
      <c r="C29" s="11" t="s">
        <v>148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 t="s">
        <v>148</v>
      </c>
      <c r="S29" s="11"/>
      <c r="T29" s="11"/>
      <c r="U29" s="11"/>
      <c r="V29" s="11"/>
      <c r="W29" s="11"/>
      <c r="X29" s="11"/>
      <c r="Y29" s="11"/>
      <c r="Z29" s="11"/>
      <c r="AA29" s="11" t="e">
        <f t="shared" ca="1" si="0"/>
        <v>#NAME?</v>
      </c>
    </row>
    <row r="30" spans="1:27" ht="15.75" customHeight="1" x14ac:dyDescent="0.25">
      <c r="A30" s="6" t="s">
        <v>18</v>
      </c>
      <c r="B30" s="10" t="s">
        <v>172</v>
      </c>
      <c r="C30" s="11" t="s">
        <v>148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 t="s">
        <v>148</v>
      </c>
      <c r="S30" s="11"/>
      <c r="T30" s="11"/>
      <c r="U30" s="11"/>
      <c r="V30" s="11"/>
      <c r="W30" s="11"/>
      <c r="X30" s="11"/>
      <c r="Y30" s="11"/>
      <c r="Z30" s="11"/>
      <c r="AA30" s="11" t="e">
        <f t="shared" ca="1" si="0"/>
        <v>#NAME?</v>
      </c>
    </row>
    <row r="31" spans="1:27" ht="15.75" customHeight="1" x14ac:dyDescent="0.25">
      <c r="A31" s="6" t="s">
        <v>40</v>
      </c>
      <c r="B31" s="10" t="s">
        <v>150</v>
      </c>
      <c r="C31" s="11" t="s">
        <v>148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 t="s">
        <v>148</v>
      </c>
      <c r="S31" s="11"/>
      <c r="T31" s="11"/>
      <c r="U31" s="11"/>
      <c r="V31" s="11"/>
      <c r="W31" s="11"/>
      <c r="X31" s="11"/>
      <c r="Y31" s="11"/>
      <c r="Z31" s="11"/>
      <c r="AA31" s="11" t="e">
        <f t="shared" ca="1" si="0"/>
        <v>#NAME?</v>
      </c>
    </row>
    <row r="32" spans="1:27" ht="15.75" customHeight="1" x14ac:dyDescent="0.25">
      <c r="A32" s="6" t="s">
        <v>25</v>
      </c>
      <c r="B32" s="10" t="s">
        <v>172</v>
      </c>
      <c r="C32" s="11" t="s">
        <v>148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 t="s">
        <v>148</v>
      </c>
      <c r="S32" s="11"/>
      <c r="T32" s="11"/>
      <c r="U32" s="11"/>
      <c r="V32" s="11"/>
      <c r="W32" s="11"/>
      <c r="X32" s="11"/>
      <c r="Y32" s="11"/>
      <c r="Z32" s="11"/>
      <c r="AA32" s="11" t="e">
        <f t="shared" ca="1" si="0"/>
        <v>#NAME?</v>
      </c>
    </row>
    <row r="33" spans="1:27" ht="15.75" customHeight="1" x14ac:dyDescent="0.25">
      <c r="A33" s="6" t="s">
        <v>19</v>
      </c>
      <c r="B33" s="10" t="s">
        <v>173</v>
      </c>
      <c r="C33" s="11" t="s">
        <v>148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 t="s">
        <v>148</v>
      </c>
      <c r="S33" s="11"/>
      <c r="T33" s="11"/>
      <c r="U33" s="11"/>
      <c r="V33" s="11"/>
      <c r="W33" s="11"/>
      <c r="X33" s="11"/>
      <c r="Y33" s="11"/>
      <c r="Z33" s="11"/>
      <c r="AA33" s="11" t="e">
        <f t="shared" ca="1" si="0"/>
        <v>#NAME?</v>
      </c>
    </row>
    <row r="34" spans="1:27" ht="15.75" customHeight="1" x14ac:dyDescent="0.25">
      <c r="A34" s="6" t="s">
        <v>20</v>
      </c>
      <c r="B34" s="10" t="s">
        <v>174</v>
      </c>
      <c r="C34" s="11" t="s">
        <v>148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 t="s">
        <v>148</v>
      </c>
      <c r="S34" s="11"/>
      <c r="T34" s="11"/>
      <c r="U34" s="11"/>
      <c r="V34" s="11"/>
      <c r="W34" s="11"/>
      <c r="X34" s="11"/>
      <c r="Y34" s="11"/>
      <c r="Z34" s="11"/>
      <c r="AA34" s="11" t="e">
        <f t="shared" ca="1" si="0"/>
        <v>#NAME?</v>
      </c>
    </row>
    <row r="35" spans="1:27" ht="15.75" customHeight="1" x14ac:dyDescent="0.2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5.75" customHeight="1" x14ac:dyDescent="0.25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5.75" customHeight="1" x14ac:dyDescent="0.25">
      <c r="A37" s="6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5.7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5.7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5.7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5.7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5.7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1" x14ac:dyDescent="0.25">
      <c r="A1" s="4" t="s">
        <v>175</v>
      </c>
    </row>
    <row r="2" spans="1:1" x14ac:dyDescent="0.25">
      <c r="A2" s="4" t="s">
        <v>141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0"/>
  <sheetViews>
    <sheetView workbookViewId="0"/>
  </sheetViews>
  <sheetFormatPr defaultColWidth="12.5703125" defaultRowHeight="15" customHeight="1" x14ac:dyDescent="0.25"/>
  <cols>
    <col min="1" max="1" width="8.5703125" customWidth="1"/>
    <col min="2" max="2" width="55.5703125" customWidth="1"/>
    <col min="3" max="3" width="104.140625" customWidth="1"/>
    <col min="4" max="26" width="8.5703125" customWidth="1"/>
  </cols>
  <sheetData>
    <row r="1" spans="1:15" x14ac:dyDescent="0.25">
      <c r="A1" s="4" t="s">
        <v>176</v>
      </c>
      <c r="B1" s="4" t="s">
        <v>177</v>
      </c>
      <c r="C1" s="4" t="s">
        <v>178</v>
      </c>
      <c r="D1" s="4" t="s">
        <v>179</v>
      </c>
      <c r="E1" s="4" t="s">
        <v>180</v>
      </c>
      <c r="F1" s="4" t="s">
        <v>181</v>
      </c>
      <c r="G1" s="4" t="s">
        <v>182</v>
      </c>
      <c r="H1" s="4" t="s">
        <v>183</v>
      </c>
      <c r="I1" s="4" t="s">
        <v>184</v>
      </c>
      <c r="J1" s="4" t="s">
        <v>185</v>
      </c>
      <c r="K1" s="4" t="s">
        <v>186</v>
      </c>
      <c r="L1" s="4" t="s">
        <v>187</v>
      </c>
      <c r="M1" s="4" t="s">
        <v>188</v>
      </c>
      <c r="N1" s="4" t="s">
        <v>189</v>
      </c>
      <c r="O1" s="4" t="s">
        <v>190</v>
      </c>
    </row>
    <row r="2" spans="1:15" x14ac:dyDescent="0.25">
      <c r="A2" s="4" t="s">
        <v>191</v>
      </c>
      <c r="B2" s="4" t="s">
        <v>192</v>
      </c>
    </row>
    <row r="4" spans="1:15" x14ac:dyDescent="0.25">
      <c r="A4" s="4" t="s">
        <v>193</v>
      </c>
      <c r="B4" s="4" t="str">
        <f>CONCATENATE(Weekly!C2," @",Weekly!A2,"_",Weekly!B2)</f>
        <v>Empty Trash Small @SB_100</v>
      </c>
      <c r="C4" s="4" t="e">
        <f ca="1">CONCATENATE(Weekly!F2," / ",Weekly!G2)</f>
        <v>#NAME?</v>
      </c>
      <c r="E4" s="4">
        <v>1</v>
      </c>
      <c r="F4" s="4">
        <v>1</v>
      </c>
      <c r="G4" s="4" t="s">
        <v>194</v>
      </c>
      <c r="H4" s="4" t="str">
        <f>LOOKUP(Weekly!E2,Workers!A:A,Workers!B:B)</f>
        <v>Ryan (57174722)</v>
      </c>
      <c r="I4" s="4" t="e">
        <f ca="1">Weekly!M2</f>
        <v>#NAME?</v>
      </c>
      <c r="J4" s="4" t="s">
        <v>195</v>
      </c>
      <c r="K4" s="4" t="s">
        <v>196</v>
      </c>
    </row>
    <row r="5" spans="1:15" x14ac:dyDescent="0.25">
      <c r="A5" s="4" t="s">
        <v>193</v>
      </c>
      <c r="B5" s="4" t="str">
        <f>CONCATENATE(Weekly!C3," @",Weekly!A3,"_",Weekly!B3)</f>
        <v>Vacuum Light Traffic @SB_100</v>
      </c>
      <c r="C5" s="4" t="e">
        <f ca="1">CONCATENATE(Weekly!F3," / ",Weekly!G3)</f>
        <v>#NAME?</v>
      </c>
      <c r="E5" s="4">
        <v>1</v>
      </c>
      <c r="F5" s="4">
        <v>1</v>
      </c>
      <c r="G5" s="4" t="s">
        <v>194</v>
      </c>
      <c r="H5" s="4" t="str">
        <f>LOOKUP(Weekly!E3,Workers!A:A,Workers!B:B)</f>
        <v>Ryan (57174722)</v>
      </c>
      <c r="I5" s="4" t="e">
        <f ca="1">Weekly!M3</f>
        <v>#NAME?</v>
      </c>
      <c r="J5" s="4" t="s">
        <v>195</v>
      </c>
      <c r="K5" s="4" t="s">
        <v>196</v>
      </c>
    </row>
    <row r="6" spans="1:15" x14ac:dyDescent="0.25">
      <c r="A6" s="4" t="s">
        <v>193</v>
      </c>
      <c r="B6" s="4" t="str">
        <f>CONCATENATE(Weekly!C4," @",Weekly!A4,"_",Weekly!B4)</f>
        <v>Wipe down Tables @SB_100</v>
      </c>
      <c r="C6" s="4" t="e">
        <f ca="1">CONCATENATE(Weekly!F4," / ",Weekly!G4)</f>
        <v>#NAME?</v>
      </c>
      <c r="E6" s="4">
        <v>1</v>
      </c>
      <c r="F6" s="4">
        <v>1</v>
      </c>
      <c r="G6" s="4" t="s">
        <v>194</v>
      </c>
      <c r="H6" s="4" t="str">
        <f>LOOKUP(Weekly!E4,Workers!A:A,Workers!B:B)</f>
        <v>Ryan (57174722)</v>
      </c>
      <c r="I6" s="4" t="e">
        <f ca="1">Weekly!M4</f>
        <v>#NAME?</v>
      </c>
      <c r="J6" s="4" t="s">
        <v>195</v>
      </c>
      <c r="K6" s="4" t="s">
        <v>196</v>
      </c>
    </row>
    <row r="7" spans="1:15" x14ac:dyDescent="0.25">
      <c r="A7" s="4" t="s">
        <v>193</v>
      </c>
      <c r="B7" s="4" t="str">
        <f>CONCATENATE(Weekly!C5," @",Weekly!A5,"_",Weekly!B5)</f>
        <v>Empty Trash Small @SB_101</v>
      </c>
      <c r="C7" s="4" t="e">
        <f ca="1">CONCATENATE(Weekly!F5," / ",Weekly!G5)</f>
        <v>#NAME?</v>
      </c>
      <c r="E7" s="4">
        <v>1</v>
      </c>
      <c r="F7" s="4">
        <v>1</v>
      </c>
      <c r="G7" s="4" t="s">
        <v>194</v>
      </c>
      <c r="H7" s="4" t="str">
        <f>LOOKUP(Weekly!E5,Workers!A:A,Workers!B:B)</f>
        <v>Ryan (57174722)</v>
      </c>
      <c r="I7" s="4" t="e">
        <f ca="1">Weekly!M5</f>
        <v>#NAME?</v>
      </c>
      <c r="J7" s="4" t="s">
        <v>195</v>
      </c>
      <c r="K7" s="4" t="s">
        <v>196</v>
      </c>
    </row>
    <row r="8" spans="1:15" x14ac:dyDescent="0.25">
      <c r="A8" s="4" t="s">
        <v>193</v>
      </c>
      <c r="B8" s="4" t="str">
        <f>CONCATENATE(Weekly!C6," @",Weekly!A6,"_",Weekly!B6)</f>
        <v>Vacuum Light Traffic @SB_101</v>
      </c>
      <c r="C8" s="4" t="e">
        <f ca="1">CONCATENATE(Weekly!F6," / ",Weekly!G6)</f>
        <v>#NAME?</v>
      </c>
      <c r="E8" s="4">
        <v>1</v>
      </c>
      <c r="F8" s="4">
        <v>1</v>
      </c>
      <c r="G8" s="4" t="s">
        <v>194</v>
      </c>
      <c r="H8" s="4" t="str">
        <f>LOOKUP(Weekly!E6,Workers!A:A,Workers!B:B)</f>
        <v>Ryan (57174722)</v>
      </c>
      <c r="I8" s="4" t="e">
        <f ca="1">Weekly!M6</f>
        <v>#NAME?</v>
      </c>
      <c r="J8" s="4" t="s">
        <v>195</v>
      </c>
      <c r="K8" s="4" t="s">
        <v>196</v>
      </c>
    </row>
    <row r="9" spans="1:15" x14ac:dyDescent="0.25">
      <c r="A9" s="4" t="s">
        <v>193</v>
      </c>
      <c r="B9" s="4" t="str">
        <f>CONCATENATE(Weekly!C7," @",Weekly!A7,"_",Weekly!B7)</f>
        <v>Wipe down Counters @SB_101</v>
      </c>
      <c r="C9" s="4" t="e">
        <f ca="1">CONCATENATE(Weekly!F7," / ",Weekly!G7)</f>
        <v>#NAME?</v>
      </c>
      <c r="E9" s="4">
        <v>1</v>
      </c>
      <c r="F9" s="4">
        <v>1</v>
      </c>
      <c r="G9" s="4" t="s">
        <v>194</v>
      </c>
      <c r="H9" s="4" t="str">
        <f>LOOKUP(Weekly!E7,Workers!A:A,Workers!B:B)</f>
        <v>Ryan (57174722)</v>
      </c>
      <c r="I9" s="4" t="e">
        <f ca="1">Weekly!M7</f>
        <v>#NAME?</v>
      </c>
      <c r="J9" s="4" t="s">
        <v>195</v>
      </c>
      <c r="K9" s="4" t="s">
        <v>196</v>
      </c>
    </row>
    <row r="10" spans="1:15" x14ac:dyDescent="0.25">
      <c r="A10" s="4" t="s">
        <v>193</v>
      </c>
      <c r="B10" s="4" t="str">
        <f>CONCATENATE(Weekly!C8," @",Weekly!A8,"_",Weekly!B8)</f>
        <v>Wipe down Tables @SB_101</v>
      </c>
      <c r="C10" s="4" t="e">
        <f ca="1">CONCATENATE(Weekly!F8," / ",Weekly!G8)</f>
        <v>#NAME?</v>
      </c>
      <c r="E10" s="4">
        <v>1</v>
      </c>
      <c r="F10" s="4">
        <v>1</v>
      </c>
      <c r="G10" s="4" t="s">
        <v>194</v>
      </c>
      <c r="H10" s="4" t="str">
        <f>LOOKUP(Weekly!E8,Workers!A:A,Workers!B:B)</f>
        <v>Ryan (57174722)</v>
      </c>
      <c r="I10" s="4" t="e">
        <f ca="1">Weekly!M8</f>
        <v>#NAME?</v>
      </c>
      <c r="J10" s="4" t="s">
        <v>195</v>
      </c>
      <c r="K10" s="4" t="s">
        <v>196</v>
      </c>
    </row>
    <row r="11" spans="1:15" x14ac:dyDescent="0.25">
      <c r="A11" s="4" t="s">
        <v>193</v>
      </c>
      <c r="B11" s="4" t="str">
        <f>CONCATENATE(Weekly!C9," @",Weekly!A9,"_",Weekly!B9)</f>
        <v>Empty Trash Small @SB_102</v>
      </c>
      <c r="C11" s="4" t="e">
        <f ca="1">CONCATENATE(Weekly!F9," / ",Weekly!G9)</f>
        <v>#NAME?</v>
      </c>
      <c r="E11" s="4">
        <v>1</v>
      </c>
      <c r="F11" s="4">
        <v>1</v>
      </c>
      <c r="G11" s="4" t="s">
        <v>194</v>
      </c>
      <c r="H11" s="4" t="str">
        <f>LOOKUP(Weekly!E9,Workers!A:A,Workers!B:B)</f>
        <v>Ryan (57174722)</v>
      </c>
      <c r="I11" s="4" t="e">
        <f ca="1">Weekly!M9</f>
        <v>#NAME?</v>
      </c>
      <c r="J11" s="4" t="s">
        <v>195</v>
      </c>
      <c r="K11" s="4" t="s">
        <v>196</v>
      </c>
    </row>
    <row r="12" spans="1:15" x14ac:dyDescent="0.25">
      <c r="A12" s="4" t="s">
        <v>193</v>
      </c>
      <c r="B12" s="4" t="str">
        <f>CONCATENATE(Weekly!C10," @",Weekly!A10,"_",Weekly!B10)</f>
        <v>Vacuum Light Traffic @SB_102</v>
      </c>
      <c r="C12" s="4" t="e">
        <f ca="1">CONCATENATE(Weekly!F10," / ",Weekly!G10)</f>
        <v>#NAME?</v>
      </c>
      <c r="E12" s="4">
        <v>1</v>
      </c>
      <c r="F12" s="4">
        <v>1</v>
      </c>
      <c r="G12" s="4" t="s">
        <v>194</v>
      </c>
      <c r="H12" s="4" t="str">
        <f>LOOKUP(Weekly!E10,Workers!A:A,Workers!B:B)</f>
        <v>Ryan (57174722)</v>
      </c>
      <c r="I12" s="4" t="e">
        <f ca="1">Weekly!M10</f>
        <v>#NAME?</v>
      </c>
      <c r="J12" s="4" t="s">
        <v>195</v>
      </c>
      <c r="K12" s="4" t="s">
        <v>196</v>
      </c>
    </row>
    <row r="13" spans="1:15" x14ac:dyDescent="0.25">
      <c r="A13" s="4" t="s">
        <v>193</v>
      </c>
      <c r="B13" s="4" t="str">
        <f>CONCATENATE(Weekly!C11," @",Weekly!A11,"_",Weekly!B11)</f>
        <v>Wipe down Counters @SB_102</v>
      </c>
      <c r="C13" s="4" t="e">
        <f ca="1">CONCATENATE(Weekly!F11," / ",Weekly!G11)</f>
        <v>#NAME?</v>
      </c>
      <c r="E13" s="4">
        <v>1</v>
      </c>
      <c r="F13" s="4">
        <v>1</v>
      </c>
      <c r="G13" s="4" t="s">
        <v>194</v>
      </c>
      <c r="H13" s="4" t="str">
        <f>LOOKUP(Weekly!E11,Workers!A:A,Workers!B:B)</f>
        <v>Ryan (57174722)</v>
      </c>
      <c r="I13" s="4" t="e">
        <f ca="1">Weekly!M11</f>
        <v>#NAME?</v>
      </c>
      <c r="J13" s="4" t="s">
        <v>195</v>
      </c>
      <c r="K13" s="4" t="s">
        <v>196</v>
      </c>
    </row>
    <row r="14" spans="1:15" x14ac:dyDescent="0.25">
      <c r="A14" s="4" t="s">
        <v>193</v>
      </c>
      <c r="B14" s="4" t="str">
        <f>CONCATENATE(Weekly!C12," @",Weekly!A12,"_",Weekly!B12)</f>
        <v>Wipe down Sink @SB_102</v>
      </c>
      <c r="C14" s="4" t="e">
        <f ca="1">CONCATENATE(Weekly!F12," / ",Weekly!G12)</f>
        <v>#NAME?</v>
      </c>
      <c r="E14" s="4">
        <v>1</v>
      </c>
      <c r="F14" s="4">
        <v>1</v>
      </c>
      <c r="G14" s="4" t="s">
        <v>194</v>
      </c>
      <c r="H14" s="4" t="str">
        <f>LOOKUP(Weekly!E12,Workers!A:A,Workers!B:B)</f>
        <v>Ryan (57174722)</v>
      </c>
      <c r="I14" s="4" t="e">
        <f ca="1">Weekly!M12</f>
        <v>#NAME?</v>
      </c>
      <c r="J14" s="4" t="s">
        <v>195</v>
      </c>
      <c r="K14" s="4" t="s">
        <v>196</v>
      </c>
    </row>
    <row r="15" spans="1:15" x14ac:dyDescent="0.25">
      <c r="A15" s="4" t="s">
        <v>193</v>
      </c>
      <c r="B15" s="4" t="str">
        <f>CONCATENATE(Weekly!C13," @",Weekly!A13,"_",Weekly!B13)</f>
        <v>Wipe down Tables @SB_102</v>
      </c>
      <c r="C15" s="4" t="e">
        <f ca="1">CONCATENATE(Weekly!F13," / ",Weekly!G13)</f>
        <v>#NAME?</v>
      </c>
      <c r="E15" s="4">
        <v>1</v>
      </c>
      <c r="F15" s="4">
        <v>1</v>
      </c>
      <c r="G15" s="4" t="s">
        <v>194</v>
      </c>
      <c r="H15" s="4" t="str">
        <f>LOOKUP(Weekly!E13,Workers!A:A,Workers!B:B)</f>
        <v>Ryan (57174722)</v>
      </c>
      <c r="I15" s="4" t="e">
        <f ca="1">Weekly!M13</f>
        <v>#NAME?</v>
      </c>
      <c r="J15" s="4" t="s">
        <v>195</v>
      </c>
      <c r="K15" s="4" t="s">
        <v>196</v>
      </c>
    </row>
    <row r="16" spans="1:15" x14ac:dyDescent="0.25">
      <c r="A16" s="4" t="s">
        <v>193</v>
      </c>
      <c r="B16" s="4" t="str">
        <f>CONCATENATE(Weekly!C14," @",Weekly!A14,"_",Weekly!B14)</f>
        <v>Empty Trash Small @SB_103</v>
      </c>
      <c r="C16" s="4" t="e">
        <f ca="1">CONCATENATE(Weekly!F14," / ",Weekly!G14)</f>
        <v>#NAME?</v>
      </c>
      <c r="E16" s="4">
        <v>1</v>
      </c>
      <c r="F16" s="4">
        <v>1</v>
      </c>
      <c r="G16" s="4" t="s">
        <v>194</v>
      </c>
      <c r="H16" s="4" t="str">
        <f>LOOKUP(Weekly!E14,Workers!A:A,Workers!B:B)</f>
        <v>Ryan (57174722)</v>
      </c>
      <c r="I16" s="4" t="e">
        <f ca="1">Weekly!M14</f>
        <v>#NAME?</v>
      </c>
      <c r="J16" s="4" t="s">
        <v>195</v>
      </c>
      <c r="K16" s="4" t="s">
        <v>196</v>
      </c>
    </row>
    <row r="17" spans="1:11" x14ac:dyDescent="0.25">
      <c r="A17" s="4" t="s">
        <v>193</v>
      </c>
      <c r="B17" s="4" t="str">
        <f>CONCATENATE(Weekly!C15," @",Weekly!A15,"_",Weekly!B15)</f>
        <v>Vacuum Light Traffic @SB_103</v>
      </c>
      <c r="C17" s="4" t="e">
        <f ca="1">CONCATENATE(Weekly!F15," / ",Weekly!G15)</f>
        <v>#NAME?</v>
      </c>
      <c r="E17" s="4">
        <v>1</v>
      </c>
      <c r="F17" s="4">
        <v>1</v>
      </c>
      <c r="G17" s="4" t="s">
        <v>194</v>
      </c>
      <c r="H17" s="4" t="str">
        <f>LOOKUP(Weekly!E15,Workers!A:A,Workers!B:B)</f>
        <v>Ryan (57174722)</v>
      </c>
      <c r="I17" s="4" t="e">
        <f ca="1">Weekly!M15</f>
        <v>#NAME?</v>
      </c>
      <c r="J17" s="4" t="s">
        <v>195</v>
      </c>
      <c r="K17" s="4" t="s">
        <v>196</v>
      </c>
    </row>
    <row r="18" spans="1:11" x14ac:dyDescent="0.25">
      <c r="A18" s="4" t="s">
        <v>193</v>
      </c>
      <c r="B18" s="4" t="str">
        <f>CONCATENATE(Weekly!C16," @",Weekly!A16,"_",Weekly!B16)</f>
        <v>Wipe down Counters @SB_103</v>
      </c>
      <c r="C18" s="4" t="e">
        <f ca="1">CONCATENATE(Weekly!F16," / ",Weekly!G16)</f>
        <v>#NAME?</v>
      </c>
      <c r="E18" s="4">
        <v>1</v>
      </c>
      <c r="F18" s="4">
        <v>1</v>
      </c>
      <c r="G18" s="4" t="s">
        <v>194</v>
      </c>
      <c r="H18" s="4" t="str">
        <f>LOOKUP(Weekly!E16,Workers!A:A,Workers!B:B)</f>
        <v>Ryan (57174722)</v>
      </c>
      <c r="I18" s="4" t="e">
        <f ca="1">Weekly!M16</f>
        <v>#NAME?</v>
      </c>
      <c r="J18" s="4" t="s">
        <v>195</v>
      </c>
      <c r="K18" s="4" t="s">
        <v>196</v>
      </c>
    </row>
    <row r="19" spans="1:11" x14ac:dyDescent="0.25">
      <c r="A19" s="4" t="s">
        <v>193</v>
      </c>
      <c r="B19" s="4" t="str">
        <f>CONCATENATE(Weekly!C17," @",Weekly!A17,"_",Weekly!B17)</f>
        <v>Wipe down Sink @SB_103</v>
      </c>
      <c r="C19" s="4" t="e">
        <f ca="1">CONCATENATE(Weekly!F17," / ",Weekly!G17)</f>
        <v>#NAME?</v>
      </c>
      <c r="E19" s="4">
        <v>1</v>
      </c>
      <c r="F19" s="4">
        <v>1</v>
      </c>
      <c r="G19" s="4" t="s">
        <v>194</v>
      </c>
      <c r="H19" s="4" t="str">
        <f>LOOKUP(Weekly!E17,Workers!A:A,Workers!B:B)</f>
        <v>Ryan (57174722)</v>
      </c>
      <c r="I19" s="4" t="e">
        <f ca="1">Weekly!M17</f>
        <v>#NAME?</v>
      </c>
      <c r="J19" s="4" t="s">
        <v>195</v>
      </c>
      <c r="K19" s="4" t="s">
        <v>196</v>
      </c>
    </row>
    <row r="20" spans="1:11" x14ac:dyDescent="0.25">
      <c r="A20" s="4" t="s">
        <v>193</v>
      </c>
      <c r="B20" s="4" t="str">
        <f>CONCATENATE(Weekly!C18," @",Weekly!A18,"_",Weekly!B18)</f>
        <v>Wipe down Tables @SB_103</v>
      </c>
      <c r="C20" s="4" t="e">
        <f ca="1">CONCATENATE(Weekly!F18," / ",Weekly!G18)</f>
        <v>#NAME?</v>
      </c>
      <c r="E20" s="4">
        <v>1</v>
      </c>
      <c r="F20" s="4">
        <v>1</v>
      </c>
      <c r="G20" s="4" t="s">
        <v>194</v>
      </c>
      <c r="H20" s="4" t="str">
        <f>LOOKUP(Weekly!E18,Workers!A:A,Workers!B:B)</f>
        <v>Ryan (57174722)</v>
      </c>
      <c r="I20" s="4" t="e">
        <f ca="1">Weekly!M18</f>
        <v>#NAME?</v>
      </c>
      <c r="J20" s="4" t="s">
        <v>195</v>
      </c>
      <c r="K20" s="4" t="s">
        <v>196</v>
      </c>
    </row>
    <row r="21" spans="1:11" ht="15.75" customHeight="1" x14ac:dyDescent="0.25">
      <c r="A21" s="4" t="s">
        <v>193</v>
      </c>
      <c r="B21" s="4" t="str">
        <f>CONCATENATE(Weekly!C19," @",Weekly!A19,"_",Weekly!B19)</f>
        <v>Empty Trash Small @NB_201</v>
      </c>
      <c r="C21" s="4" t="e">
        <f ca="1">CONCATENATE(Weekly!F19," / ",Weekly!G19)</f>
        <v>#NAME?</v>
      </c>
      <c r="E21" s="4">
        <v>1</v>
      </c>
      <c r="F21" s="4">
        <v>1</v>
      </c>
      <c r="G21" s="4" t="s">
        <v>194</v>
      </c>
      <c r="H21" s="4" t="str">
        <f>LOOKUP(Weekly!E19,Workers!A:A,Workers!B:B)</f>
        <v>Ryan (57174722)</v>
      </c>
      <c r="I21" s="4" t="e">
        <f ca="1">Weekly!M19</f>
        <v>#NAME?</v>
      </c>
      <c r="J21" s="4" t="s">
        <v>195</v>
      </c>
      <c r="K21" s="4" t="s">
        <v>196</v>
      </c>
    </row>
    <row r="22" spans="1:11" ht="15.75" customHeight="1" x14ac:dyDescent="0.25">
      <c r="A22" s="4" t="s">
        <v>193</v>
      </c>
      <c r="B22" s="4" t="str">
        <f>CONCATENATE(Weekly!C20," @",Weekly!A20,"_",Weekly!B20)</f>
        <v>Empty Trash Small @SB_201</v>
      </c>
      <c r="C22" s="4" t="e">
        <f ca="1">CONCATENATE(Weekly!F20," / ",Weekly!G20)</f>
        <v>#NAME?</v>
      </c>
      <c r="E22" s="4">
        <v>1</v>
      </c>
      <c r="F22" s="4">
        <v>1</v>
      </c>
      <c r="G22" s="4" t="s">
        <v>194</v>
      </c>
      <c r="H22" s="4" t="str">
        <f>LOOKUP(Weekly!E20,Workers!A:A,Workers!B:B)</f>
        <v>Ryan (57174722)</v>
      </c>
      <c r="I22" s="4" t="e">
        <f ca="1">Weekly!M20</f>
        <v>#NAME?</v>
      </c>
      <c r="J22" s="4" t="s">
        <v>195</v>
      </c>
      <c r="K22" s="4" t="s">
        <v>196</v>
      </c>
    </row>
    <row r="23" spans="1:11" ht="15.75" customHeight="1" x14ac:dyDescent="0.25">
      <c r="A23" s="4" t="s">
        <v>193</v>
      </c>
      <c r="B23" s="4" t="str">
        <f>CONCATENATE(Weekly!C21," @",Weekly!A21,"_",Weekly!B21)</f>
        <v>Vacuum Light Traffic @NB_201</v>
      </c>
      <c r="C23" s="4" t="e">
        <f ca="1">CONCATENATE(Weekly!F21," / ",Weekly!G21)</f>
        <v>#NAME?</v>
      </c>
      <c r="E23" s="4">
        <v>1</v>
      </c>
      <c r="F23" s="4">
        <v>1</v>
      </c>
      <c r="G23" s="4" t="s">
        <v>194</v>
      </c>
      <c r="H23" s="4" t="str">
        <f>LOOKUP(Weekly!E21,Workers!A:A,Workers!B:B)</f>
        <v>Ryan (57174722)</v>
      </c>
      <c r="I23" s="4" t="e">
        <f ca="1">Weekly!M21</f>
        <v>#NAME?</v>
      </c>
      <c r="J23" s="4" t="s">
        <v>195</v>
      </c>
      <c r="K23" s="4" t="s">
        <v>196</v>
      </c>
    </row>
    <row r="24" spans="1:11" ht="15.75" customHeight="1" x14ac:dyDescent="0.25">
      <c r="A24" s="4" t="s">
        <v>193</v>
      </c>
      <c r="B24" s="4" t="str">
        <f>CONCATENATE(Weekly!C22," @",Weekly!A22,"_",Weekly!B22)</f>
        <v>Vacuum Light Traffic @SB_201</v>
      </c>
      <c r="C24" s="4" t="e">
        <f ca="1">CONCATENATE(Weekly!F22," / ",Weekly!G22)</f>
        <v>#NAME?</v>
      </c>
      <c r="E24" s="4">
        <v>1</v>
      </c>
      <c r="F24" s="4">
        <v>1</v>
      </c>
      <c r="G24" s="4" t="s">
        <v>194</v>
      </c>
      <c r="H24" s="4" t="str">
        <f>LOOKUP(Weekly!E22,Workers!A:A,Workers!B:B)</f>
        <v>Ryan (57174722)</v>
      </c>
      <c r="I24" s="4" t="e">
        <f ca="1">Weekly!M22</f>
        <v>#NAME?</v>
      </c>
      <c r="J24" s="4" t="s">
        <v>195</v>
      </c>
      <c r="K24" s="4" t="s">
        <v>196</v>
      </c>
    </row>
    <row r="25" spans="1:11" ht="15.75" customHeight="1" x14ac:dyDescent="0.25">
      <c r="A25" s="4" t="s">
        <v>193</v>
      </c>
      <c r="B25" s="4" t="str">
        <f>CONCATENATE(Weekly!C23," @",Weekly!A23,"_",Weekly!B23)</f>
        <v>Wipe down Tables @NB_201</v>
      </c>
      <c r="C25" s="4" t="e">
        <f ca="1">CONCATENATE(Weekly!F23," / ",Weekly!G23)</f>
        <v>#NAME?</v>
      </c>
      <c r="E25" s="4">
        <v>1</v>
      </c>
      <c r="F25" s="4">
        <v>1</v>
      </c>
      <c r="G25" s="4" t="s">
        <v>194</v>
      </c>
      <c r="H25" s="4" t="str">
        <f>LOOKUP(Weekly!E23,Workers!A:A,Workers!B:B)</f>
        <v>Ryan (57174722)</v>
      </c>
      <c r="I25" s="4" t="e">
        <f ca="1">Weekly!M23</f>
        <v>#NAME?</v>
      </c>
      <c r="J25" s="4" t="s">
        <v>195</v>
      </c>
      <c r="K25" s="4" t="s">
        <v>196</v>
      </c>
    </row>
    <row r="26" spans="1:11" ht="15.75" customHeight="1" x14ac:dyDescent="0.25">
      <c r="A26" s="4" t="s">
        <v>193</v>
      </c>
      <c r="B26" s="4" t="str">
        <f>CONCATENATE(Weekly!C24," @",Weekly!A24,"_",Weekly!B24)</f>
        <v>Wipe down Tables @SB_201</v>
      </c>
      <c r="C26" s="4" t="e">
        <f ca="1">CONCATENATE(Weekly!F24," / ",Weekly!G24)</f>
        <v>#NAME?</v>
      </c>
      <c r="E26" s="4">
        <v>1</v>
      </c>
      <c r="F26" s="4">
        <v>1</v>
      </c>
      <c r="G26" s="4" t="s">
        <v>194</v>
      </c>
      <c r="H26" s="4" t="str">
        <f>LOOKUP(Weekly!E24,Workers!A:A,Workers!B:B)</f>
        <v>Ryan (57174722)</v>
      </c>
      <c r="I26" s="4" t="e">
        <f ca="1">Weekly!M24</f>
        <v>#NAME?</v>
      </c>
      <c r="J26" s="4" t="s">
        <v>195</v>
      </c>
      <c r="K26" s="4" t="s">
        <v>196</v>
      </c>
    </row>
    <row r="27" spans="1:11" ht="15.75" customHeight="1" x14ac:dyDescent="0.25">
      <c r="A27" s="4" t="s">
        <v>193</v>
      </c>
      <c r="B27" s="4" t="str">
        <f>CONCATENATE(Weekly!C25," @",Weekly!A25,"_",Weekly!B25)</f>
        <v>Empty Trash Small @NB_202</v>
      </c>
      <c r="C27" s="4" t="e">
        <f ca="1">CONCATENATE(Weekly!F25," / ",Weekly!G25)</f>
        <v>#NAME?</v>
      </c>
      <c r="E27" s="4">
        <v>1</v>
      </c>
      <c r="F27" s="4">
        <v>1</v>
      </c>
      <c r="G27" s="4" t="s">
        <v>194</v>
      </c>
      <c r="H27" s="4" t="str">
        <f>LOOKUP(Weekly!E25,Workers!A:A,Workers!B:B)</f>
        <v>Ryan (57174722)</v>
      </c>
      <c r="I27" s="4" t="e">
        <f ca="1">Weekly!M25</f>
        <v>#NAME?</v>
      </c>
      <c r="J27" s="4" t="s">
        <v>195</v>
      </c>
      <c r="K27" s="4" t="s">
        <v>196</v>
      </c>
    </row>
    <row r="28" spans="1:11" ht="15.75" customHeight="1" x14ac:dyDescent="0.25">
      <c r="A28" s="4" t="s">
        <v>193</v>
      </c>
      <c r="B28" s="4" t="str">
        <f>CONCATENATE(Weekly!C26," @",Weekly!A26,"_",Weekly!B26)</f>
        <v>Empty Trash Small @SB_202</v>
      </c>
      <c r="C28" s="4" t="e">
        <f ca="1">CONCATENATE(Weekly!F26," / ",Weekly!G26)</f>
        <v>#NAME?</v>
      </c>
      <c r="E28" s="4">
        <v>1</v>
      </c>
      <c r="F28" s="4">
        <v>1</v>
      </c>
      <c r="G28" s="4" t="s">
        <v>194</v>
      </c>
      <c r="H28" s="4" t="str">
        <f>LOOKUP(Weekly!E26,Workers!A:A,Workers!B:B)</f>
        <v>Ryan (57174722)</v>
      </c>
      <c r="I28" s="4" t="e">
        <f ca="1">Weekly!M26</f>
        <v>#NAME?</v>
      </c>
      <c r="J28" s="4" t="s">
        <v>195</v>
      </c>
      <c r="K28" s="4" t="s">
        <v>196</v>
      </c>
    </row>
    <row r="29" spans="1:11" ht="15.75" customHeight="1" x14ac:dyDescent="0.25">
      <c r="A29" s="4" t="s">
        <v>193</v>
      </c>
      <c r="B29" s="4" t="str">
        <f>CONCATENATE(Weekly!C27," @",Weekly!A27,"_",Weekly!B27)</f>
        <v>Vacuum Light Traffic @NB_202</v>
      </c>
      <c r="C29" s="4" t="e">
        <f ca="1">CONCATENATE(Weekly!F27," / ",Weekly!G27)</f>
        <v>#NAME?</v>
      </c>
      <c r="E29" s="4">
        <v>1</v>
      </c>
      <c r="F29" s="4">
        <v>1</v>
      </c>
      <c r="G29" s="4" t="s">
        <v>194</v>
      </c>
      <c r="H29" s="4" t="str">
        <f>LOOKUP(Weekly!E27,Workers!A:A,Workers!B:B)</f>
        <v>Ryan (57174722)</v>
      </c>
      <c r="I29" s="4" t="e">
        <f ca="1">Weekly!M27</f>
        <v>#NAME?</v>
      </c>
      <c r="J29" s="4" t="s">
        <v>195</v>
      </c>
      <c r="K29" s="4" t="s">
        <v>196</v>
      </c>
    </row>
    <row r="30" spans="1:11" ht="15.75" customHeight="1" x14ac:dyDescent="0.25">
      <c r="A30" s="4" t="s">
        <v>193</v>
      </c>
      <c r="B30" s="4" t="str">
        <f>CONCATENATE(Weekly!C28," @",Weekly!A28,"_",Weekly!B28)</f>
        <v>Vacuum Light Traffic @SB_202</v>
      </c>
      <c r="C30" s="4" t="e">
        <f ca="1">CONCATENATE(Weekly!F28," / ",Weekly!G28)</f>
        <v>#NAME?</v>
      </c>
      <c r="E30" s="4">
        <v>1</v>
      </c>
      <c r="F30" s="4">
        <v>1</v>
      </c>
      <c r="G30" s="4" t="s">
        <v>194</v>
      </c>
      <c r="H30" s="4" t="str">
        <f>LOOKUP(Weekly!E28,Workers!A:A,Workers!B:B)</f>
        <v>Ryan (57174722)</v>
      </c>
      <c r="I30" s="4" t="e">
        <f ca="1">Weekly!M28</f>
        <v>#NAME?</v>
      </c>
      <c r="J30" s="4" t="s">
        <v>195</v>
      </c>
      <c r="K30" s="4" t="s">
        <v>196</v>
      </c>
    </row>
    <row r="31" spans="1:11" ht="15.75" customHeight="1" x14ac:dyDescent="0.25">
      <c r="A31" s="4" t="s">
        <v>193</v>
      </c>
      <c r="B31" s="4" t="str">
        <f>CONCATENATE(Weekly!C29," @",Weekly!A29,"_",Weekly!B29)</f>
        <v>Wipe down Tables @NB_202</v>
      </c>
      <c r="C31" s="4" t="e">
        <f ca="1">CONCATENATE(Weekly!F29," / ",Weekly!G29)</f>
        <v>#NAME?</v>
      </c>
      <c r="E31" s="4">
        <v>1</v>
      </c>
      <c r="F31" s="4">
        <v>1</v>
      </c>
      <c r="G31" s="4" t="s">
        <v>194</v>
      </c>
      <c r="H31" s="4" t="str">
        <f>LOOKUP(Weekly!E29,Workers!A:A,Workers!B:B)</f>
        <v>Ryan (57174722)</v>
      </c>
      <c r="I31" s="4" t="e">
        <f ca="1">Weekly!M29</f>
        <v>#NAME?</v>
      </c>
      <c r="J31" s="4" t="s">
        <v>195</v>
      </c>
      <c r="K31" s="4" t="s">
        <v>196</v>
      </c>
    </row>
    <row r="32" spans="1:11" ht="15.75" customHeight="1" x14ac:dyDescent="0.25">
      <c r="A32" s="4" t="s">
        <v>193</v>
      </c>
      <c r="B32" s="4" t="str">
        <f>CONCATENATE(Weekly!C30," @",Weekly!A30,"_",Weekly!B30)</f>
        <v>Wipe down Tables @SB_202</v>
      </c>
      <c r="C32" s="4" t="e">
        <f ca="1">CONCATENATE(Weekly!F30," / ",Weekly!G30)</f>
        <v>#NAME?</v>
      </c>
      <c r="E32" s="4">
        <v>1</v>
      </c>
      <c r="F32" s="4">
        <v>1</v>
      </c>
      <c r="G32" s="4" t="s">
        <v>194</v>
      </c>
      <c r="H32" s="4" t="str">
        <f>LOOKUP(Weekly!E30,Workers!A:A,Workers!B:B)</f>
        <v>Ryan (57174722)</v>
      </c>
      <c r="I32" s="4" t="e">
        <f ca="1">Weekly!M30</f>
        <v>#NAME?</v>
      </c>
      <c r="J32" s="4" t="s">
        <v>195</v>
      </c>
      <c r="K32" s="4" t="s">
        <v>196</v>
      </c>
    </row>
    <row r="33" spans="1:11" ht="15.75" customHeight="1" x14ac:dyDescent="0.25">
      <c r="A33" s="4" t="s">
        <v>193</v>
      </c>
      <c r="B33" s="4" t="str">
        <f>CONCATENATE(Weekly!C31," @",Weekly!A31,"_",Weekly!B31)</f>
        <v>Empty Trash Small @NB_203</v>
      </c>
      <c r="C33" s="4" t="e">
        <f ca="1">CONCATENATE(Weekly!F31," / ",Weekly!G31)</f>
        <v>#NAME?</v>
      </c>
      <c r="E33" s="4">
        <v>1</v>
      </c>
      <c r="F33" s="4">
        <v>1</v>
      </c>
      <c r="G33" s="4" t="s">
        <v>194</v>
      </c>
      <c r="H33" s="4" t="str">
        <f>LOOKUP(Weekly!E31,Workers!A:A,Workers!B:B)</f>
        <v>Ryan (57174722)</v>
      </c>
      <c r="I33" s="4" t="e">
        <f ca="1">Weekly!M31</f>
        <v>#NAME?</v>
      </c>
      <c r="J33" s="4" t="s">
        <v>195</v>
      </c>
      <c r="K33" s="4" t="s">
        <v>196</v>
      </c>
    </row>
    <row r="34" spans="1:11" ht="15.75" customHeight="1" x14ac:dyDescent="0.25">
      <c r="A34" s="4" t="s">
        <v>193</v>
      </c>
      <c r="B34" s="4" t="str">
        <f>CONCATENATE(Weekly!C32," @",Weekly!A32,"_",Weekly!B32)</f>
        <v>Empty Trash Small @SB_203</v>
      </c>
      <c r="C34" s="4" t="e">
        <f ca="1">CONCATENATE(Weekly!F32," / ",Weekly!G32)</f>
        <v>#NAME?</v>
      </c>
      <c r="E34" s="4">
        <v>1</v>
      </c>
      <c r="F34" s="4">
        <v>1</v>
      </c>
      <c r="G34" s="4" t="s">
        <v>194</v>
      </c>
      <c r="H34" s="4" t="str">
        <f>LOOKUP(Weekly!E32,Workers!A:A,Workers!B:B)</f>
        <v>Ryan (57174722)</v>
      </c>
      <c r="I34" s="4" t="e">
        <f ca="1">Weekly!M32</f>
        <v>#NAME?</v>
      </c>
      <c r="J34" s="4" t="s">
        <v>195</v>
      </c>
      <c r="K34" s="4" t="s">
        <v>196</v>
      </c>
    </row>
    <row r="35" spans="1:11" ht="15.75" customHeight="1" x14ac:dyDescent="0.25">
      <c r="A35" s="4" t="s">
        <v>193</v>
      </c>
      <c r="B35" s="4" t="str">
        <f>CONCATENATE(Weekly!C33," @",Weekly!A33,"_",Weekly!B33)</f>
        <v>Vacuum Light Traffic @NB_203</v>
      </c>
      <c r="C35" s="4" t="e">
        <f ca="1">CONCATENATE(Weekly!F33," / ",Weekly!G33)</f>
        <v>#NAME?</v>
      </c>
      <c r="E35" s="4">
        <v>1</v>
      </c>
      <c r="F35" s="4">
        <v>1</v>
      </c>
      <c r="G35" s="4" t="s">
        <v>194</v>
      </c>
      <c r="H35" s="4" t="str">
        <f>LOOKUP(Weekly!E33,Workers!A:A,Workers!B:B)</f>
        <v>Ryan (57174722)</v>
      </c>
      <c r="I35" s="4" t="e">
        <f ca="1">Weekly!M33</f>
        <v>#NAME?</v>
      </c>
      <c r="J35" s="4" t="s">
        <v>195</v>
      </c>
      <c r="K35" s="4" t="s">
        <v>196</v>
      </c>
    </row>
    <row r="36" spans="1:11" ht="15.75" customHeight="1" x14ac:dyDescent="0.25">
      <c r="A36" s="4" t="s">
        <v>193</v>
      </c>
      <c r="B36" s="4" t="str">
        <f>CONCATENATE(Weekly!C34," @",Weekly!A34,"_",Weekly!B34)</f>
        <v>Vacuum Light Traffic @SB_203</v>
      </c>
      <c r="C36" s="4" t="e">
        <f ca="1">CONCATENATE(Weekly!F34," / ",Weekly!G34)</f>
        <v>#NAME?</v>
      </c>
      <c r="E36" s="4">
        <v>1</v>
      </c>
      <c r="F36" s="4">
        <v>1</v>
      </c>
      <c r="G36" s="4" t="s">
        <v>194</v>
      </c>
      <c r="H36" s="4" t="str">
        <f>LOOKUP(Weekly!E34,Workers!A:A,Workers!B:B)</f>
        <v>Ryan (57174722)</v>
      </c>
      <c r="I36" s="4" t="e">
        <f ca="1">Weekly!M34</f>
        <v>#NAME?</v>
      </c>
      <c r="J36" s="4" t="s">
        <v>195</v>
      </c>
      <c r="K36" s="4" t="s">
        <v>196</v>
      </c>
    </row>
    <row r="37" spans="1:11" ht="15.75" customHeight="1" x14ac:dyDescent="0.25">
      <c r="A37" s="4" t="s">
        <v>193</v>
      </c>
      <c r="B37" s="4" t="str">
        <f>CONCATENATE(Weekly!C35," @",Weekly!A35,"_",Weekly!B35)</f>
        <v>Wipe down Tables @NB_203</v>
      </c>
      <c r="C37" s="4" t="e">
        <f ca="1">CONCATENATE(Weekly!F35," / ",Weekly!G35)</f>
        <v>#NAME?</v>
      </c>
      <c r="E37" s="4">
        <v>1</v>
      </c>
      <c r="F37" s="4">
        <v>1</v>
      </c>
      <c r="G37" s="4" t="s">
        <v>194</v>
      </c>
      <c r="H37" s="4" t="str">
        <f>LOOKUP(Weekly!E35,Workers!A:A,Workers!B:B)</f>
        <v>Ryan (57174722)</v>
      </c>
      <c r="I37" s="4" t="e">
        <f ca="1">Weekly!M35</f>
        <v>#NAME?</v>
      </c>
      <c r="J37" s="4" t="s">
        <v>195</v>
      </c>
      <c r="K37" s="4" t="s">
        <v>196</v>
      </c>
    </row>
    <row r="38" spans="1:11" ht="15.75" customHeight="1" x14ac:dyDescent="0.25">
      <c r="A38" s="4" t="s">
        <v>193</v>
      </c>
      <c r="B38" s="4" t="str">
        <f>CONCATENATE(Weekly!C36," @",Weekly!A36,"_",Weekly!B36)</f>
        <v>Wipe down Tables @SB_203</v>
      </c>
      <c r="C38" s="4" t="e">
        <f ca="1">CONCATENATE(Weekly!F36," / ",Weekly!G36)</f>
        <v>#NAME?</v>
      </c>
      <c r="E38" s="4">
        <v>1</v>
      </c>
      <c r="F38" s="4">
        <v>1</v>
      </c>
      <c r="G38" s="4" t="s">
        <v>194</v>
      </c>
      <c r="H38" s="4" t="str">
        <f>LOOKUP(Weekly!E36,Workers!A:A,Workers!B:B)</f>
        <v>Ryan (57174722)</v>
      </c>
      <c r="I38" s="4" t="e">
        <f ca="1">Weekly!M36</f>
        <v>#NAME?</v>
      </c>
      <c r="J38" s="4" t="s">
        <v>195</v>
      </c>
      <c r="K38" s="4" t="s">
        <v>196</v>
      </c>
    </row>
    <row r="39" spans="1:11" ht="15.75" customHeight="1" x14ac:dyDescent="0.25">
      <c r="A39" s="4" t="s">
        <v>193</v>
      </c>
      <c r="B39" s="4" t="str">
        <f>CONCATENATE(Weekly!C37," @",Weekly!A37,"_",Weekly!B37)</f>
        <v>Empty Trash Small @NB_204</v>
      </c>
      <c r="C39" s="4" t="e">
        <f ca="1">CONCATENATE(Weekly!F37," / ",Weekly!G37)</f>
        <v>#NAME?</v>
      </c>
      <c r="E39" s="4">
        <v>1</v>
      </c>
      <c r="F39" s="4">
        <v>1</v>
      </c>
      <c r="G39" s="4" t="s">
        <v>194</v>
      </c>
      <c r="H39" s="4" t="str">
        <f>LOOKUP(Weekly!E37,Workers!A:A,Workers!B:B)</f>
        <v>Ryan (57174722)</v>
      </c>
      <c r="I39" s="4" t="e">
        <f ca="1">Weekly!M37</f>
        <v>#NAME?</v>
      </c>
      <c r="J39" s="4" t="s">
        <v>195</v>
      </c>
      <c r="K39" s="4" t="s">
        <v>196</v>
      </c>
    </row>
    <row r="40" spans="1:11" ht="15.75" customHeight="1" x14ac:dyDescent="0.25">
      <c r="A40" s="4" t="s">
        <v>193</v>
      </c>
      <c r="B40" s="4" t="str">
        <f>CONCATENATE(Weekly!C38," @",Weekly!A38,"_",Weekly!B38)</f>
        <v>Empty Trash Small @SB_204</v>
      </c>
      <c r="C40" s="4" t="e">
        <f ca="1">CONCATENATE(Weekly!F38," / ",Weekly!G38)</f>
        <v>#NAME?</v>
      </c>
      <c r="E40" s="4">
        <v>1</v>
      </c>
      <c r="F40" s="4">
        <v>1</v>
      </c>
      <c r="G40" s="4" t="s">
        <v>194</v>
      </c>
      <c r="H40" s="4" t="str">
        <f>LOOKUP(Weekly!E38,Workers!A:A,Workers!B:B)</f>
        <v>Ryan (57174722)</v>
      </c>
      <c r="I40" s="4" t="e">
        <f ca="1">Weekly!M38</f>
        <v>#NAME?</v>
      </c>
      <c r="J40" s="4" t="s">
        <v>195</v>
      </c>
      <c r="K40" s="4" t="s">
        <v>196</v>
      </c>
    </row>
    <row r="41" spans="1:11" ht="15.75" customHeight="1" x14ac:dyDescent="0.25">
      <c r="A41" s="4" t="s">
        <v>193</v>
      </c>
      <c r="B41" s="4" t="str">
        <f>CONCATENATE(Weekly!C39," @",Weekly!A39,"_",Weekly!B39)</f>
        <v>Vacuum Light Traffic @NB_204</v>
      </c>
      <c r="C41" s="4" t="e">
        <f ca="1">CONCATENATE(Weekly!F39," / ",Weekly!G39)</f>
        <v>#NAME?</v>
      </c>
      <c r="E41" s="4">
        <v>1</v>
      </c>
      <c r="F41" s="4">
        <v>1</v>
      </c>
      <c r="G41" s="4" t="s">
        <v>194</v>
      </c>
      <c r="H41" s="4" t="str">
        <f>LOOKUP(Weekly!E39,Workers!A:A,Workers!B:B)</f>
        <v>Ryan (57174722)</v>
      </c>
      <c r="I41" s="4" t="e">
        <f ca="1">Weekly!M39</f>
        <v>#NAME?</v>
      </c>
      <c r="J41" s="4" t="s">
        <v>195</v>
      </c>
      <c r="K41" s="4" t="s">
        <v>196</v>
      </c>
    </row>
    <row r="42" spans="1:11" ht="15.75" customHeight="1" x14ac:dyDescent="0.25">
      <c r="A42" s="4" t="s">
        <v>193</v>
      </c>
      <c r="B42" s="4" t="str">
        <f>CONCATENATE(Weekly!C40," @",Weekly!A40,"_",Weekly!B40)</f>
        <v>Vacuum Light Traffic @SB_204</v>
      </c>
      <c r="C42" s="4" t="e">
        <f ca="1">CONCATENATE(Weekly!F40," / ",Weekly!G40)</f>
        <v>#NAME?</v>
      </c>
      <c r="E42" s="4">
        <v>1</v>
      </c>
      <c r="F42" s="4">
        <v>1</v>
      </c>
      <c r="G42" s="4" t="s">
        <v>194</v>
      </c>
      <c r="H42" s="4" t="str">
        <f>LOOKUP(Weekly!E40,Workers!A:A,Workers!B:B)</f>
        <v>Ryan (57174722)</v>
      </c>
      <c r="I42" s="4" t="e">
        <f ca="1">Weekly!M40</f>
        <v>#NAME?</v>
      </c>
      <c r="J42" s="4" t="s">
        <v>195</v>
      </c>
      <c r="K42" s="4" t="s">
        <v>196</v>
      </c>
    </row>
    <row r="43" spans="1:11" ht="15.75" customHeight="1" x14ac:dyDescent="0.25">
      <c r="A43" s="4" t="s">
        <v>193</v>
      </c>
      <c r="B43" s="4" t="str">
        <f>CONCATENATE(Weekly!C41," @",Weekly!A41,"_",Weekly!B41)</f>
        <v>Wipe down Tables @NB_204</v>
      </c>
      <c r="C43" s="4" t="e">
        <f ca="1">CONCATENATE(Weekly!F41," / ",Weekly!G41)</f>
        <v>#NAME?</v>
      </c>
      <c r="E43" s="4">
        <v>1</v>
      </c>
      <c r="F43" s="4">
        <v>1</v>
      </c>
      <c r="G43" s="4" t="s">
        <v>194</v>
      </c>
      <c r="H43" s="4" t="str">
        <f>LOOKUP(Weekly!E41,Workers!A:A,Workers!B:B)</f>
        <v>Ryan (57174722)</v>
      </c>
      <c r="I43" s="4" t="e">
        <f ca="1">Weekly!M41</f>
        <v>#NAME?</v>
      </c>
      <c r="J43" s="4" t="s">
        <v>195</v>
      </c>
      <c r="K43" s="4" t="s">
        <v>196</v>
      </c>
    </row>
    <row r="44" spans="1:11" ht="15.75" customHeight="1" x14ac:dyDescent="0.25">
      <c r="A44" s="4" t="s">
        <v>193</v>
      </c>
      <c r="B44" s="4" t="str">
        <f>CONCATENATE(Weekly!C42," @",Weekly!A42,"_",Weekly!B42)</f>
        <v>Wipe down Tables @SB_204</v>
      </c>
      <c r="C44" s="4" t="e">
        <f ca="1">CONCATENATE(Weekly!F42," / ",Weekly!G42)</f>
        <v>#NAME?</v>
      </c>
      <c r="E44" s="4">
        <v>1</v>
      </c>
      <c r="F44" s="4">
        <v>1</v>
      </c>
      <c r="G44" s="4" t="s">
        <v>194</v>
      </c>
      <c r="H44" s="4" t="str">
        <f>LOOKUP(Weekly!E42,Workers!A:A,Workers!B:B)</f>
        <v>Ryan (57174722)</v>
      </c>
      <c r="I44" s="4" t="e">
        <f ca="1">Weekly!M42</f>
        <v>#NAME?</v>
      </c>
      <c r="J44" s="4" t="s">
        <v>195</v>
      </c>
      <c r="K44" s="4" t="s">
        <v>196</v>
      </c>
    </row>
    <row r="45" spans="1:11" ht="15.75" customHeight="1" x14ac:dyDescent="0.25">
      <c r="A45" s="4" t="s">
        <v>193</v>
      </c>
      <c r="B45" s="4" t="e">
        <f>CONCATENATE(Weekly!#REF!," @",Weekly!#REF!,"_",Weekly!#REF!)</f>
        <v>#REF!</v>
      </c>
      <c r="C45" s="4" t="e">
        <f>CONCATENATE(Weekly!#REF!," / ",Weekly!#REF!)</f>
        <v>#REF!</v>
      </c>
      <c r="E45" s="4">
        <v>1</v>
      </c>
      <c r="F45" s="4">
        <v>1</v>
      </c>
      <c r="G45" s="4" t="s">
        <v>194</v>
      </c>
      <c r="H45" s="4" t="e">
        <f>LOOKUP(Weekly!#REF!,Workers!A:A,Workers!B:B)</f>
        <v>#REF!</v>
      </c>
      <c r="I45" s="4" t="e">
        <f>Weekly!#REF!</f>
        <v>#REF!</v>
      </c>
      <c r="J45" s="4" t="s">
        <v>195</v>
      </c>
      <c r="K45" s="4" t="s">
        <v>196</v>
      </c>
    </row>
    <row r="46" spans="1:11" ht="15.75" customHeight="1" x14ac:dyDescent="0.25">
      <c r="A46" s="4" t="s">
        <v>193</v>
      </c>
      <c r="B46" s="4" t="e">
        <f>CONCATENATE(Weekly!#REF!," @",Weekly!#REF!,"_",Weekly!#REF!)</f>
        <v>#REF!</v>
      </c>
      <c r="C46" s="4" t="e">
        <f>CONCATENATE(Weekly!#REF!," / ",Weekly!#REF!)</f>
        <v>#REF!</v>
      </c>
      <c r="E46" s="4">
        <v>1</v>
      </c>
      <c r="F46" s="4">
        <v>1</v>
      </c>
      <c r="G46" s="4" t="s">
        <v>194</v>
      </c>
      <c r="H46" s="4" t="e">
        <f>LOOKUP(Weekly!#REF!,Workers!A:A,Workers!B:B)</f>
        <v>#REF!</v>
      </c>
      <c r="I46" s="4" t="e">
        <f>Weekly!#REF!</f>
        <v>#REF!</v>
      </c>
      <c r="J46" s="4" t="s">
        <v>195</v>
      </c>
      <c r="K46" s="4" t="s">
        <v>196</v>
      </c>
    </row>
    <row r="47" spans="1:11" ht="15.75" customHeight="1" x14ac:dyDescent="0.25">
      <c r="A47" s="4" t="s">
        <v>193</v>
      </c>
      <c r="B47" s="4" t="e">
        <f>CONCATENATE(Weekly!#REF!," @",Weekly!#REF!,"_",Weekly!#REF!)</f>
        <v>#REF!</v>
      </c>
      <c r="C47" s="4" t="e">
        <f>CONCATENATE(Weekly!#REF!," / ",Weekly!#REF!)</f>
        <v>#REF!</v>
      </c>
      <c r="E47" s="4">
        <v>1</v>
      </c>
      <c r="F47" s="4">
        <v>1</v>
      </c>
      <c r="G47" s="4" t="s">
        <v>194</v>
      </c>
      <c r="H47" s="4" t="e">
        <f>LOOKUP(Weekly!#REF!,Workers!A:A,Workers!B:B)</f>
        <v>#REF!</v>
      </c>
      <c r="I47" s="4" t="e">
        <f>Weekly!#REF!</f>
        <v>#REF!</v>
      </c>
      <c r="J47" s="4" t="s">
        <v>195</v>
      </c>
      <c r="K47" s="4" t="s">
        <v>196</v>
      </c>
    </row>
    <row r="48" spans="1:11" ht="15.75" customHeight="1" x14ac:dyDescent="0.25">
      <c r="A48" s="4" t="s">
        <v>193</v>
      </c>
      <c r="B48" s="4" t="str">
        <f>CONCATENATE(Weekly!C43," @",Weekly!A43,"_",Weekly!B43)</f>
        <v>Empty Trash Small @SB_205</v>
      </c>
      <c r="C48" s="4" t="e">
        <f ca="1">CONCATENATE(Weekly!F43," / ",Weekly!G43)</f>
        <v>#NAME?</v>
      </c>
      <c r="E48" s="4">
        <v>1</v>
      </c>
      <c r="F48" s="4">
        <v>1</v>
      </c>
      <c r="G48" s="4" t="s">
        <v>194</v>
      </c>
      <c r="H48" s="4" t="str">
        <f>LOOKUP(Weekly!E43,Workers!A:A,Workers!B:B)</f>
        <v>Ryan (57174722)</v>
      </c>
      <c r="I48" s="4" t="e">
        <f ca="1">Weekly!M43</f>
        <v>#NAME?</v>
      </c>
      <c r="J48" s="4" t="s">
        <v>195</v>
      </c>
      <c r="K48" s="4" t="s">
        <v>196</v>
      </c>
    </row>
    <row r="49" spans="1:11" ht="15.75" customHeight="1" x14ac:dyDescent="0.25">
      <c r="A49" s="4" t="s">
        <v>193</v>
      </c>
      <c r="B49" s="4" t="str">
        <f>CONCATENATE(Weekly!C44," @",Weekly!A44,"_",Weekly!B44)</f>
        <v>Vacuum Light Traffic @SB_205</v>
      </c>
      <c r="C49" s="4" t="e">
        <f ca="1">CONCATENATE(Weekly!F44," / ",Weekly!G44)</f>
        <v>#NAME?</v>
      </c>
      <c r="E49" s="4">
        <v>1</v>
      </c>
      <c r="F49" s="4">
        <v>1</v>
      </c>
      <c r="G49" s="4" t="s">
        <v>194</v>
      </c>
      <c r="H49" s="4" t="str">
        <f>LOOKUP(Weekly!E44,Workers!A:A,Workers!B:B)</f>
        <v>Ryan (57174722)</v>
      </c>
      <c r="I49" s="4" t="e">
        <f ca="1">Weekly!M44</f>
        <v>#NAME?</v>
      </c>
      <c r="J49" s="4" t="s">
        <v>195</v>
      </c>
      <c r="K49" s="4" t="s">
        <v>196</v>
      </c>
    </row>
    <row r="50" spans="1:11" ht="15.75" customHeight="1" x14ac:dyDescent="0.25">
      <c r="A50" s="4" t="s">
        <v>193</v>
      </c>
      <c r="B50" s="4" t="str">
        <f>CONCATENATE(Weekly!C45," @",Weekly!A45,"_",Weekly!B45)</f>
        <v>Wipe down Counters @SB_205</v>
      </c>
      <c r="C50" s="4" t="e">
        <f ca="1">CONCATENATE(Weekly!F45," / ",Weekly!G45)</f>
        <v>#NAME?</v>
      </c>
      <c r="E50" s="4">
        <v>1</v>
      </c>
      <c r="F50" s="4">
        <v>1</v>
      </c>
      <c r="G50" s="4" t="s">
        <v>194</v>
      </c>
      <c r="H50" s="4" t="str">
        <f>LOOKUP(Weekly!E45,Workers!A:A,Workers!B:B)</f>
        <v>Ryan (57174722)</v>
      </c>
      <c r="I50" s="4" t="e">
        <f ca="1">Weekly!M45</f>
        <v>#NAME?</v>
      </c>
      <c r="J50" s="4" t="s">
        <v>195</v>
      </c>
      <c r="K50" s="4" t="s">
        <v>196</v>
      </c>
    </row>
    <row r="51" spans="1:11" ht="15.75" customHeight="1" x14ac:dyDescent="0.25">
      <c r="A51" s="4" t="s">
        <v>193</v>
      </c>
      <c r="B51" s="4" t="str">
        <f>CONCATENATE(Weekly!C46," @",Weekly!A46,"_",Weekly!B46)</f>
        <v>Wipe down Tables @SB_205</v>
      </c>
      <c r="C51" s="4" t="e">
        <f ca="1">CONCATENATE(Weekly!F46," / ",Weekly!G46)</f>
        <v>#NAME?</v>
      </c>
      <c r="E51" s="4">
        <v>1</v>
      </c>
      <c r="F51" s="4">
        <v>1</v>
      </c>
      <c r="G51" s="4" t="s">
        <v>194</v>
      </c>
      <c r="H51" s="4" t="str">
        <f>LOOKUP(Weekly!E46,Workers!A:A,Workers!B:B)</f>
        <v>Ryan (57174722)</v>
      </c>
      <c r="I51" s="4" t="e">
        <f ca="1">Weekly!M46</f>
        <v>#NAME?</v>
      </c>
      <c r="J51" s="4" t="s">
        <v>195</v>
      </c>
      <c r="K51" s="4" t="s">
        <v>196</v>
      </c>
    </row>
    <row r="52" spans="1:11" ht="15.75" customHeight="1" x14ac:dyDescent="0.25">
      <c r="A52" s="4" t="s">
        <v>193</v>
      </c>
      <c r="B52" s="4" t="str">
        <f>CONCATENATE(Weekly!C47," @",Weekly!A47,"_",Weekly!B47)</f>
        <v>Empty Trash Large @SB_Chapel</v>
      </c>
      <c r="C52" s="4" t="e">
        <f ca="1">CONCATENATE(Weekly!F47," / ",Weekly!G47)</f>
        <v>#NAME?</v>
      </c>
      <c r="E52" s="4">
        <v>1</v>
      </c>
      <c r="F52" s="4">
        <v>1</v>
      </c>
      <c r="G52" s="4" t="s">
        <v>194</v>
      </c>
      <c r="H52" s="4" t="str">
        <f>LOOKUP(Weekly!E47,Workers!A:A,Workers!B:B)</f>
        <v>Ryan (57174722)</v>
      </c>
      <c r="I52" s="4" t="e">
        <f ca="1">Weekly!M47</f>
        <v>#NAME?</v>
      </c>
      <c r="J52" s="4" t="s">
        <v>195</v>
      </c>
      <c r="K52" s="4" t="s">
        <v>196</v>
      </c>
    </row>
    <row r="53" spans="1:11" ht="15.75" customHeight="1" x14ac:dyDescent="0.25">
      <c r="A53" s="4" t="s">
        <v>193</v>
      </c>
      <c r="B53" s="4" t="str">
        <f>CONCATENATE(Weekly!C48," @",Weekly!A48,"_",Weekly!B48)</f>
        <v>Vacuum Light Traffic @SB_Chapel</v>
      </c>
      <c r="C53" s="4" t="e">
        <f ca="1">CONCATENATE(Weekly!F48," / ",Weekly!G48)</f>
        <v>#NAME?</v>
      </c>
      <c r="E53" s="4">
        <v>1</v>
      </c>
      <c r="F53" s="4">
        <v>1</v>
      </c>
      <c r="G53" s="4" t="s">
        <v>194</v>
      </c>
      <c r="H53" s="4" t="str">
        <f>LOOKUP(Weekly!E48,Workers!A:A,Workers!B:B)</f>
        <v>Ryan (57174722)</v>
      </c>
      <c r="I53" s="4" t="e">
        <f ca="1">Weekly!M48</f>
        <v>#NAME?</v>
      </c>
      <c r="J53" s="4" t="s">
        <v>195</v>
      </c>
      <c r="K53" s="4" t="s">
        <v>196</v>
      </c>
    </row>
    <row r="54" spans="1:11" ht="15.75" customHeight="1" x14ac:dyDescent="0.25">
      <c r="A54" s="4" t="s">
        <v>193</v>
      </c>
      <c r="B54" s="4" t="str">
        <f>CONCATENATE(Weekly!C49," @",Weekly!A49,"_",Weekly!B49)</f>
        <v>Empty Trash Small @NB_Children's Lobby</v>
      </c>
      <c r="C54" s="4" t="e">
        <f ca="1">CONCATENATE(Weekly!F49," / ",Weekly!G49)</f>
        <v>#NAME?</v>
      </c>
      <c r="E54" s="4">
        <v>1</v>
      </c>
      <c r="F54" s="4">
        <v>1</v>
      </c>
      <c r="G54" s="4" t="s">
        <v>194</v>
      </c>
      <c r="H54" s="4" t="str">
        <f>LOOKUP(Weekly!E49,Workers!A:A,Workers!B:B)</f>
        <v>Ryan (57174722)</v>
      </c>
      <c r="I54" s="4" t="e">
        <f ca="1">Weekly!M49</f>
        <v>#NAME?</v>
      </c>
      <c r="J54" s="4" t="s">
        <v>195</v>
      </c>
      <c r="K54" s="4" t="s">
        <v>196</v>
      </c>
    </row>
    <row r="55" spans="1:11" ht="15.75" customHeight="1" x14ac:dyDescent="0.25">
      <c r="A55" s="4" t="s">
        <v>193</v>
      </c>
      <c r="B55" s="4" t="str">
        <f>CONCATENATE(Weekly!C50," @",Weekly!A50,"_",Weekly!B50)</f>
        <v>Vacuum Light Traffic @NB_Children's Lobby</v>
      </c>
      <c r="C55" s="4" t="e">
        <f ca="1">CONCATENATE(Weekly!F50," / ",Weekly!G50)</f>
        <v>#NAME?</v>
      </c>
      <c r="E55" s="4">
        <v>1</v>
      </c>
      <c r="F55" s="4">
        <v>1</v>
      </c>
      <c r="G55" s="4" t="s">
        <v>194</v>
      </c>
      <c r="H55" s="4" t="str">
        <f>LOOKUP(Weekly!E50,Workers!A:A,Workers!B:B)</f>
        <v>Garrett (57173225)</v>
      </c>
      <c r="I55" s="4" t="e">
        <f ca="1">Weekly!M50</f>
        <v>#NAME?</v>
      </c>
      <c r="J55" s="4" t="s">
        <v>195</v>
      </c>
      <c r="K55" s="4" t="s">
        <v>196</v>
      </c>
    </row>
    <row r="56" spans="1:11" ht="15.75" customHeight="1" x14ac:dyDescent="0.25">
      <c r="A56" s="4" t="s">
        <v>193</v>
      </c>
      <c r="B56" s="4" t="str">
        <f>CONCATENATE(Weekly!C51," @",Weekly!A51,"_",Weekly!B51)</f>
        <v>Vacuum Stairs @NB_Children's Lobby</v>
      </c>
      <c r="C56" s="4" t="e">
        <f ca="1">CONCATENATE(Weekly!F51," / ",Weekly!G51)</f>
        <v>#NAME?</v>
      </c>
      <c r="E56" s="4">
        <v>1</v>
      </c>
      <c r="F56" s="4">
        <v>1</v>
      </c>
      <c r="G56" s="4" t="s">
        <v>194</v>
      </c>
      <c r="H56" s="4" t="str">
        <f>LOOKUP(Weekly!E51,Workers!A:A,Workers!B:B)</f>
        <v>Garrett (57173225)</v>
      </c>
      <c r="I56" s="4" t="e">
        <f ca="1">Weekly!M51</f>
        <v>#NAME?</v>
      </c>
      <c r="J56" s="4" t="s">
        <v>195</v>
      </c>
      <c r="K56" s="4" t="s">
        <v>196</v>
      </c>
    </row>
    <row r="57" spans="1:11" ht="15.75" customHeight="1" x14ac:dyDescent="0.25">
      <c r="A57" s="4" t="s">
        <v>193</v>
      </c>
      <c r="B57" s="4" t="str">
        <f>CONCATENATE(Weekly!C52," @",Weekly!A52,"_",Weekly!B52)</f>
        <v>Wipe down Stair Rails @NB_Children's Lobby</v>
      </c>
      <c r="C57" s="4" t="e">
        <f ca="1">CONCATENATE(Weekly!F52," / ",Weekly!G52)</f>
        <v>#NAME?</v>
      </c>
      <c r="E57" s="4">
        <v>1</v>
      </c>
      <c r="F57" s="4">
        <v>1</v>
      </c>
      <c r="G57" s="4" t="s">
        <v>194</v>
      </c>
      <c r="H57" s="4" t="str">
        <f>LOOKUP(Weekly!E52,Workers!A:A,Workers!B:B)</f>
        <v>Ryan (57174722)</v>
      </c>
      <c r="I57" s="4" t="e">
        <f ca="1">Weekly!M52</f>
        <v>#NAME?</v>
      </c>
      <c r="J57" s="4" t="s">
        <v>195</v>
      </c>
      <c r="K57" s="4" t="s">
        <v>196</v>
      </c>
    </row>
    <row r="58" spans="1:11" ht="15.75" customHeight="1" x14ac:dyDescent="0.25">
      <c r="A58" s="4" t="s">
        <v>193</v>
      </c>
      <c r="B58" s="4" t="str">
        <f>CONCATENATE(Weekly!C53," @",Weekly!A53,"_",Weekly!B53)</f>
        <v>Wipe down Tables @NB_Children's Lobby</v>
      </c>
      <c r="C58" s="4" t="e">
        <f ca="1">CONCATENATE(Weekly!F53," / ",Weekly!G53)</f>
        <v>#NAME?</v>
      </c>
      <c r="E58" s="4">
        <v>1</v>
      </c>
      <c r="F58" s="4">
        <v>1</v>
      </c>
      <c r="G58" s="4" t="s">
        <v>194</v>
      </c>
      <c r="H58" s="4" t="str">
        <f>LOOKUP(Weekly!E53,Workers!A:A,Workers!B:B)</f>
        <v>Ryan (57174722)</v>
      </c>
      <c r="I58" s="4" t="e">
        <f ca="1">Weekly!M53</f>
        <v>#NAME?</v>
      </c>
      <c r="J58" s="4" t="s">
        <v>195</v>
      </c>
      <c r="K58" s="4" t="s">
        <v>196</v>
      </c>
    </row>
    <row r="59" spans="1:11" ht="15.75" customHeight="1" x14ac:dyDescent="0.25">
      <c r="A59" s="4" t="s">
        <v>193</v>
      </c>
      <c r="B59" s="4" t="str">
        <f>CONCATENATE(Weekly!C54," @",Weekly!A54,"_",Weekly!B54)</f>
        <v>Empty Trash Large @NB_Coffee</v>
      </c>
      <c r="C59" s="4" t="e">
        <f ca="1">CONCATENATE(Weekly!F54," / ",Weekly!G54)</f>
        <v>#NAME?</v>
      </c>
      <c r="E59" s="4">
        <v>1</v>
      </c>
      <c r="F59" s="4">
        <v>1</v>
      </c>
      <c r="G59" s="4" t="s">
        <v>194</v>
      </c>
      <c r="H59" s="4" t="str">
        <f>LOOKUP(Weekly!E54,Workers!A:A,Workers!B:B)</f>
        <v>Ryan (57174722)</v>
      </c>
      <c r="I59" s="4" t="e">
        <f ca="1">Weekly!M54</f>
        <v>#NAME?</v>
      </c>
      <c r="J59" s="4" t="s">
        <v>195</v>
      </c>
      <c r="K59" s="4" t="s">
        <v>196</v>
      </c>
    </row>
    <row r="60" spans="1:11" ht="15.75" customHeight="1" x14ac:dyDescent="0.25">
      <c r="A60" s="4" t="s">
        <v>193</v>
      </c>
      <c r="B60" s="4" t="str">
        <f>CONCATENATE(Weekly!C55," @",Weekly!A55,"_",Weekly!B55)</f>
        <v>Mop @NB_Coffee</v>
      </c>
      <c r="C60" s="4" t="e">
        <f ca="1">CONCATENATE(Weekly!F55," / ",Weekly!G55)</f>
        <v>#NAME?</v>
      </c>
      <c r="E60" s="4">
        <v>1</v>
      </c>
      <c r="F60" s="4">
        <v>1</v>
      </c>
      <c r="G60" s="4" t="s">
        <v>194</v>
      </c>
      <c r="H60" s="4" t="str">
        <f>LOOKUP(Weekly!E55,Workers!A:A,Workers!B:B)</f>
        <v>Ryan (57174722)</v>
      </c>
      <c r="I60" s="4" t="e">
        <f ca="1">Weekly!M55</f>
        <v>#NAME?</v>
      </c>
      <c r="J60" s="4" t="s">
        <v>195</v>
      </c>
      <c r="K60" s="4" t="s">
        <v>196</v>
      </c>
    </row>
    <row r="61" spans="1:11" ht="15.75" customHeight="1" x14ac:dyDescent="0.25">
      <c r="A61" s="4" t="s">
        <v>193</v>
      </c>
      <c r="B61" s="4" t="str">
        <f>CONCATENATE(Weekly!C56," @",Weekly!A56,"_",Weekly!B56)</f>
        <v>Sweep @NB_Coffee</v>
      </c>
      <c r="C61" s="4" t="e">
        <f ca="1">CONCATENATE(Weekly!F56," / ",Weekly!G56)</f>
        <v>#NAME?</v>
      </c>
      <c r="E61" s="4">
        <v>1</v>
      </c>
      <c r="F61" s="4">
        <v>1</v>
      </c>
      <c r="G61" s="4" t="s">
        <v>194</v>
      </c>
      <c r="H61" s="4" t="str">
        <f>LOOKUP(Weekly!E56,Workers!A:A,Workers!B:B)</f>
        <v>Ryan (57174722)</v>
      </c>
      <c r="I61" s="4" t="e">
        <f ca="1">Weekly!M56</f>
        <v>#NAME?</v>
      </c>
      <c r="J61" s="4" t="s">
        <v>195</v>
      </c>
      <c r="K61" s="4" t="s">
        <v>196</v>
      </c>
    </row>
    <row r="62" spans="1:11" ht="15.75" customHeight="1" x14ac:dyDescent="0.25">
      <c r="A62" s="4" t="s">
        <v>193</v>
      </c>
      <c r="B62" s="4" t="str">
        <f>CONCATENATE(Weekly!C57," @",Weekly!A57,"_",Weekly!B57)</f>
        <v>Clean Carpets @NB_Corridor A</v>
      </c>
      <c r="C62" s="4" t="e">
        <f ca="1">CONCATENATE(Weekly!F57," / ",Weekly!G57)</f>
        <v>#NAME?</v>
      </c>
      <c r="E62" s="4">
        <v>1</v>
      </c>
      <c r="F62" s="4">
        <v>1</v>
      </c>
      <c r="G62" s="4" t="s">
        <v>194</v>
      </c>
      <c r="H62" s="4" t="str">
        <f>LOOKUP(Weekly!E57,Workers!A:A,Workers!B:B)</f>
        <v>Garrett (57173225)</v>
      </c>
      <c r="I62" s="4" t="e">
        <f ca="1">Weekly!M57</f>
        <v>#NAME?</v>
      </c>
      <c r="J62" s="4" t="s">
        <v>195</v>
      </c>
      <c r="K62" s="4" t="s">
        <v>196</v>
      </c>
    </row>
    <row r="63" spans="1:11" ht="15.75" customHeight="1" x14ac:dyDescent="0.25">
      <c r="A63" s="4" t="s">
        <v>193</v>
      </c>
      <c r="B63" s="4" t="str">
        <f>CONCATENATE(Weekly!C58," @",Weekly!A58,"_",Weekly!B58)</f>
        <v>Disinfect Water Fountain @NB_Corridor A</v>
      </c>
      <c r="C63" s="4" t="e">
        <f ca="1">CONCATENATE(Weekly!F58," / ",Weekly!G58)</f>
        <v>#NAME?</v>
      </c>
      <c r="E63" s="4">
        <v>1</v>
      </c>
      <c r="F63" s="4">
        <v>1</v>
      </c>
      <c r="G63" s="4" t="s">
        <v>194</v>
      </c>
      <c r="H63" s="4" t="str">
        <f>LOOKUP(Weekly!E58,Workers!A:A,Workers!B:B)</f>
        <v>Ryan (57174722)</v>
      </c>
      <c r="I63" s="4" t="e">
        <f ca="1">Weekly!M58</f>
        <v>#NAME?</v>
      </c>
      <c r="J63" s="4" t="s">
        <v>195</v>
      </c>
      <c r="K63" s="4" t="s">
        <v>196</v>
      </c>
    </row>
    <row r="64" spans="1:11" ht="15.75" customHeight="1" x14ac:dyDescent="0.25">
      <c r="A64" s="4" t="s">
        <v>193</v>
      </c>
      <c r="B64" s="4" t="str">
        <f>CONCATENATE(Weekly!C59," @",Weekly!A59,"_",Weekly!B59)</f>
        <v>Vacuum Light Traffic @SB_Corridor A</v>
      </c>
      <c r="C64" s="4" t="e">
        <f ca="1">CONCATENATE(Weekly!F59," / ",Weekly!G59)</f>
        <v>#NAME?</v>
      </c>
      <c r="E64" s="4">
        <v>1</v>
      </c>
      <c r="F64" s="4">
        <v>1</v>
      </c>
      <c r="G64" s="4" t="s">
        <v>194</v>
      </c>
      <c r="H64" s="4" t="str">
        <f>LOOKUP(Weekly!E59,Workers!A:A,Workers!B:B)</f>
        <v>Garrett (57173225)</v>
      </c>
      <c r="I64" s="4" t="e">
        <f ca="1">Weekly!M59</f>
        <v>#NAME?</v>
      </c>
      <c r="J64" s="4" t="s">
        <v>195</v>
      </c>
      <c r="K64" s="4" t="s">
        <v>196</v>
      </c>
    </row>
    <row r="65" spans="1:11" ht="15.75" customHeight="1" x14ac:dyDescent="0.25">
      <c r="A65" s="4" t="s">
        <v>193</v>
      </c>
      <c r="B65" s="4" t="str">
        <f>CONCATENATE(Weekly!C60," @",Weekly!A60,"_",Weekly!B60)</f>
        <v>Vacuum Light Traffic @NB_Corridor A</v>
      </c>
      <c r="C65" s="4" t="e">
        <f ca="1">CONCATENATE(Weekly!F60," / ",Weekly!G60)</f>
        <v>#NAME?</v>
      </c>
      <c r="E65" s="4">
        <v>1</v>
      </c>
      <c r="F65" s="4">
        <v>1</v>
      </c>
      <c r="G65" s="4" t="s">
        <v>194</v>
      </c>
      <c r="H65" s="4" t="str">
        <f>LOOKUP(Weekly!E60,Workers!A:A,Workers!B:B)</f>
        <v>Ryan (57174722)</v>
      </c>
      <c r="I65" s="4" t="e">
        <f ca="1">Weekly!M60</f>
        <v>#NAME?</v>
      </c>
      <c r="J65" s="4" t="s">
        <v>195</v>
      </c>
      <c r="K65" s="4" t="s">
        <v>196</v>
      </c>
    </row>
    <row r="66" spans="1:11" ht="15.75" customHeight="1" x14ac:dyDescent="0.25">
      <c r="A66" s="4" t="s">
        <v>193</v>
      </c>
      <c r="B66" s="4" t="str">
        <f>CONCATENATE(Weekly!C61," @",Weekly!A61,"_",Weekly!B61)</f>
        <v>Clean Carpets @NB_Corridor B</v>
      </c>
      <c r="C66" s="4" t="e">
        <f ca="1">CONCATENATE(Weekly!F61," / ",Weekly!G61)</f>
        <v>#NAME?</v>
      </c>
      <c r="E66" s="4">
        <v>1</v>
      </c>
      <c r="F66" s="4">
        <v>1</v>
      </c>
      <c r="G66" s="4" t="s">
        <v>194</v>
      </c>
      <c r="H66" s="4" t="str">
        <f>LOOKUP(Weekly!E61,Workers!A:A,Workers!B:B)</f>
        <v>Garrett (57173225)</v>
      </c>
      <c r="I66" s="4" t="e">
        <f ca="1">Weekly!M61</f>
        <v>#NAME?</v>
      </c>
      <c r="J66" s="4" t="s">
        <v>195</v>
      </c>
      <c r="K66" s="4" t="s">
        <v>196</v>
      </c>
    </row>
    <row r="67" spans="1:11" ht="15.75" customHeight="1" x14ac:dyDescent="0.25">
      <c r="A67" s="4" t="s">
        <v>193</v>
      </c>
      <c r="B67" s="4" t="str">
        <f>CONCATENATE(Weekly!C62," @",Weekly!A62,"_",Weekly!B62)</f>
        <v>Disinfect Water Fountain @NB_Corridor B</v>
      </c>
      <c r="C67" s="4" t="e">
        <f ca="1">CONCATENATE(Weekly!F62," / ",Weekly!G62)</f>
        <v>#NAME?</v>
      </c>
      <c r="E67" s="4">
        <v>1</v>
      </c>
      <c r="F67" s="4">
        <v>1</v>
      </c>
      <c r="G67" s="4" t="s">
        <v>194</v>
      </c>
      <c r="H67" s="4" t="str">
        <f>LOOKUP(Weekly!E62,Workers!A:A,Workers!B:B)</f>
        <v>Ryan (57174722)</v>
      </c>
      <c r="I67" s="4" t="e">
        <f ca="1">Weekly!M62</f>
        <v>#NAME?</v>
      </c>
      <c r="J67" s="4" t="s">
        <v>195</v>
      </c>
      <c r="K67" s="4" t="s">
        <v>196</v>
      </c>
    </row>
    <row r="68" spans="1:11" ht="15.75" customHeight="1" x14ac:dyDescent="0.25">
      <c r="A68" s="4" t="s">
        <v>193</v>
      </c>
      <c r="B68" s="4" t="str">
        <f>CONCATENATE(Weekly!C63," @",Weekly!A63,"_",Weekly!B63)</f>
        <v>Vacuum Light Traffic @NB_Corridor B</v>
      </c>
      <c r="C68" s="4" t="e">
        <f ca="1">CONCATENATE(Weekly!F63," / ",Weekly!G63)</f>
        <v>#NAME?</v>
      </c>
      <c r="E68" s="4">
        <v>1</v>
      </c>
      <c r="F68" s="4">
        <v>1</v>
      </c>
      <c r="G68" s="4" t="s">
        <v>194</v>
      </c>
      <c r="H68" s="4" t="str">
        <f>LOOKUP(Weekly!E63,Workers!A:A,Workers!B:B)</f>
        <v>Ryan (57174722)</v>
      </c>
      <c r="I68" s="4" t="e">
        <f ca="1">Weekly!M63</f>
        <v>#NAME?</v>
      </c>
      <c r="J68" s="4" t="s">
        <v>195</v>
      </c>
      <c r="K68" s="4" t="s">
        <v>196</v>
      </c>
    </row>
    <row r="69" spans="1:11" ht="15.75" customHeight="1" x14ac:dyDescent="0.25">
      <c r="A69" s="4" t="s">
        <v>193</v>
      </c>
      <c r="B69" s="4" t="str">
        <f>CONCATENATE(Weekly!C64," @",Weekly!A64,"_",Weekly!B64)</f>
        <v>Vacuum Light Traffic @SB_Corridor B</v>
      </c>
      <c r="C69" s="4" t="e">
        <f ca="1">CONCATENATE(Weekly!F64," / ",Weekly!G64)</f>
        <v>#NAME?</v>
      </c>
      <c r="E69" s="4">
        <v>1</v>
      </c>
      <c r="F69" s="4">
        <v>1</v>
      </c>
      <c r="G69" s="4" t="s">
        <v>194</v>
      </c>
      <c r="H69" s="4" t="str">
        <f>LOOKUP(Weekly!E64,Workers!A:A,Workers!B:B)</f>
        <v>Garrett (57173225)</v>
      </c>
      <c r="I69" s="4" t="e">
        <f ca="1">Weekly!M64</f>
        <v>#NAME?</v>
      </c>
      <c r="J69" s="4" t="s">
        <v>195</v>
      </c>
      <c r="K69" s="4" t="s">
        <v>196</v>
      </c>
    </row>
    <row r="70" spans="1:11" ht="15.75" customHeight="1" x14ac:dyDescent="0.25">
      <c r="A70" s="4" t="s">
        <v>193</v>
      </c>
      <c r="B70" s="4" t="str">
        <f>CONCATENATE(Weekly!C65," @",Weekly!A65,"_",Weekly!B65)</f>
        <v>Clean Carpets @NB_Corridor C</v>
      </c>
      <c r="C70" s="4" t="e">
        <f ca="1">CONCATENATE(Weekly!F65," / ",Weekly!G65)</f>
        <v>#NAME?</v>
      </c>
      <c r="E70" s="4">
        <v>1</v>
      </c>
      <c r="F70" s="4">
        <v>1</v>
      </c>
      <c r="G70" s="4" t="s">
        <v>194</v>
      </c>
      <c r="H70" s="4" t="str">
        <f>LOOKUP(Weekly!E65,Workers!A:A,Workers!B:B)</f>
        <v>Garrett (57173225)</v>
      </c>
      <c r="I70" s="4" t="e">
        <f ca="1">Weekly!M65</f>
        <v>#NAME?</v>
      </c>
      <c r="J70" s="4" t="s">
        <v>195</v>
      </c>
      <c r="K70" s="4" t="s">
        <v>196</v>
      </c>
    </row>
    <row r="71" spans="1:11" ht="15.75" customHeight="1" x14ac:dyDescent="0.25">
      <c r="A71" s="4" t="s">
        <v>193</v>
      </c>
      <c r="B71" s="4" t="str">
        <f>CONCATENATE(Weekly!C66," @",Weekly!A66,"_",Weekly!B66)</f>
        <v>Disinfect Water Fountain @NB_Corridor C</v>
      </c>
      <c r="C71" s="4" t="e">
        <f ca="1">CONCATENATE(Weekly!F66," / ",Weekly!G66)</f>
        <v>#NAME?</v>
      </c>
      <c r="E71" s="4">
        <v>1</v>
      </c>
      <c r="F71" s="4">
        <v>1</v>
      </c>
      <c r="G71" s="4" t="s">
        <v>194</v>
      </c>
      <c r="H71" s="4" t="str">
        <f>LOOKUP(Weekly!E66,Workers!A:A,Workers!B:B)</f>
        <v>Ryan (57174722)</v>
      </c>
      <c r="I71" s="4" t="e">
        <f ca="1">Weekly!M66</f>
        <v>#NAME?</v>
      </c>
      <c r="J71" s="4" t="s">
        <v>195</v>
      </c>
      <c r="K71" s="4" t="s">
        <v>196</v>
      </c>
    </row>
    <row r="72" spans="1:11" ht="15.75" customHeight="1" x14ac:dyDescent="0.25">
      <c r="A72" s="4" t="s">
        <v>193</v>
      </c>
      <c r="B72" s="4" t="str">
        <f>CONCATENATE(Weekly!C67," @",Weekly!A67,"_",Weekly!B67)</f>
        <v>Vacuum Light Traffic @NB_Corridor C</v>
      </c>
      <c r="C72" s="4" t="e">
        <f ca="1">CONCATENATE(Weekly!F67," / ",Weekly!G67)</f>
        <v>#NAME?</v>
      </c>
      <c r="E72" s="4">
        <v>1</v>
      </c>
      <c r="F72" s="4">
        <v>1</v>
      </c>
      <c r="G72" s="4" t="s">
        <v>194</v>
      </c>
      <c r="H72" s="4" t="str">
        <f>LOOKUP(Weekly!E67,Workers!A:A,Workers!B:B)</f>
        <v>Ryan (57174722)</v>
      </c>
      <c r="I72" s="4" t="e">
        <f ca="1">Weekly!M67</f>
        <v>#NAME?</v>
      </c>
      <c r="J72" s="4" t="s">
        <v>195</v>
      </c>
      <c r="K72" s="4" t="s">
        <v>196</v>
      </c>
    </row>
    <row r="73" spans="1:11" ht="15.75" customHeight="1" x14ac:dyDescent="0.25">
      <c r="A73" s="4" t="s">
        <v>193</v>
      </c>
      <c r="B73" s="4" t="str">
        <f>CONCATENATE(Weekly!C68," @",Weekly!A68,"_",Weekly!B68)</f>
        <v>Empty Trash Small @NB_Counseling Room</v>
      </c>
      <c r="C73" s="4" t="e">
        <f ca="1">CONCATENATE(Weekly!F68," / ",Weekly!G68)</f>
        <v>#NAME?</v>
      </c>
      <c r="E73" s="4">
        <v>1</v>
      </c>
      <c r="F73" s="4">
        <v>1</v>
      </c>
      <c r="G73" s="4" t="s">
        <v>194</v>
      </c>
      <c r="H73" s="4" t="str">
        <f>LOOKUP(Weekly!E68,Workers!A:A,Workers!B:B)</f>
        <v>Ryan (57174722)</v>
      </c>
      <c r="I73" s="4" t="e">
        <f ca="1">Weekly!M68</f>
        <v>#NAME?</v>
      </c>
      <c r="J73" s="4" t="s">
        <v>195</v>
      </c>
      <c r="K73" s="4" t="s">
        <v>196</v>
      </c>
    </row>
    <row r="74" spans="1:11" ht="15.75" customHeight="1" x14ac:dyDescent="0.25">
      <c r="A74" s="4" t="s">
        <v>193</v>
      </c>
      <c r="B74" s="4" t="str">
        <f>CONCATENATE(Weekly!C69," @",Weekly!A69,"_",Weekly!B69)</f>
        <v>Vacuum Light Traffic @NB_Counseling Room</v>
      </c>
      <c r="C74" s="4" t="e">
        <f ca="1">CONCATENATE(Weekly!F69," / ",Weekly!G69)</f>
        <v>#NAME?</v>
      </c>
      <c r="E74" s="4">
        <v>1</v>
      </c>
      <c r="F74" s="4">
        <v>1</v>
      </c>
      <c r="G74" s="4" t="s">
        <v>194</v>
      </c>
      <c r="H74" s="4" t="str">
        <f>LOOKUP(Weekly!E69,Workers!A:A,Workers!B:B)</f>
        <v>Ryan (57174722)</v>
      </c>
      <c r="I74" s="4" t="e">
        <f ca="1">Weekly!M69</f>
        <v>#NAME?</v>
      </c>
      <c r="J74" s="4" t="s">
        <v>195</v>
      </c>
      <c r="K74" s="4" t="s">
        <v>196</v>
      </c>
    </row>
    <row r="75" spans="1:11" ht="15.75" customHeight="1" x14ac:dyDescent="0.25">
      <c r="A75" s="4" t="s">
        <v>193</v>
      </c>
      <c r="B75" s="4" t="str">
        <f>CONCATENATE(Weekly!C70," @",Weekly!A70,"_",Weekly!B70)</f>
        <v>Wipe down Tables @NB_Counseling Room</v>
      </c>
      <c r="C75" s="4" t="e">
        <f ca="1">CONCATENATE(Weekly!F70," / ",Weekly!G70)</f>
        <v>#NAME?</v>
      </c>
      <c r="E75" s="4">
        <v>1</v>
      </c>
      <c r="F75" s="4">
        <v>1</v>
      </c>
      <c r="G75" s="4" t="s">
        <v>194</v>
      </c>
      <c r="H75" s="4" t="str">
        <f>LOOKUP(Weekly!E70,Workers!A:A,Workers!B:B)</f>
        <v>Ryan (57174722)</v>
      </c>
      <c r="I75" s="4" t="e">
        <f ca="1">Weekly!M70</f>
        <v>#NAME?</v>
      </c>
      <c r="J75" s="4" t="s">
        <v>195</v>
      </c>
      <c r="K75" s="4" t="s">
        <v>196</v>
      </c>
    </row>
    <row r="76" spans="1:11" ht="15.75" customHeight="1" x14ac:dyDescent="0.25">
      <c r="A76" s="4" t="s">
        <v>193</v>
      </c>
      <c r="B76" s="4" t="str">
        <f>CONCATENATE(Weekly!C71," @",Weekly!A71,"_",Weekly!B71)</f>
        <v>Vacuum Light Traffic @NB_Elevator</v>
      </c>
      <c r="C76" s="4" t="e">
        <f ca="1">CONCATENATE(Weekly!F71," / ",Weekly!G71)</f>
        <v>#NAME?</v>
      </c>
      <c r="E76" s="4">
        <v>1</v>
      </c>
      <c r="F76" s="4">
        <v>1</v>
      </c>
      <c r="G76" s="4" t="s">
        <v>194</v>
      </c>
      <c r="H76" s="4" t="str">
        <f>LOOKUP(Weekly!E71,Workers!A:A,Workers!B:B)</f>
        <v>Ryan (57174722)</v>
      </c>
      <c r="I76" s="4" t="e">
        <f ca="1">Weekly!M71</f>
        <v>#NAME?</v>
      </c>
      <c r="J76" s="4" t="s">
        <v>195</v>
      </c>
      <c r="K76" s="4" t="s">
        <v>196</v>
      </c>
    </row>
    <row r="77" spans="1:11" ht="15.75" customHeight="1" x14ac:dyDescent="0.25">
      <c r="A77" s="4" t="s">
        <v>193</v>
      </c>
      <c r="B77" s="4" t="str">
        <f>CONCATENATE(Weekly!C72," @",Weekly!A72,"_",Weekly!B72)</f>
        <v>Disinfect Changing Table @NB_Family Room</v>
      </c>
      <c r="C77" s="4" t="e">
        <f ca="1">CONCATENATE(Weekly!F72," / ",Weekly!G72)</f>
        <v>#NAME?</v>
      </c>
      <c r="E77" s="4">
        <v>1</v>
      </c>
      <c r="F77" s="4">
        <v>1</v>
      </c>
      <c r="G77" s="4" t="s">
        <v>194</v>
      </c>
      <c r="H77" s="4" t="str">
        <f>LOOKUP(Weekly!E72,Workers!A:A,Workers!B:B)</f>
        <v>Ryan (57174722)</v>
      </c>
      <c r="I77" s="4" t="e">
        <f ca="1">Weekly!M72</f>
        <v>#NAME?</v>
      </c>
      <c r="J77" s="4" t="s">
        <v>195</v>
      </c>
      <c r="K77" s="4" t="s">
        <v>196</v>
      </c>
    </row>
    <row r="78" spans="1:11" ht="15.75" customHeight="1" x14ac:dyDescent="0.25">
      <c r="A78" s="4" t="s">
        <v>193</v>
      </c>
      <c r="B78" s="4" t="str">
        <f>CONCATENATE(Weekly!C73," @",Weekly!A73,"_",Weekly!B73)</f>
        <v>Empty Diaper Genie @NB_Family Room</v>
      </c>
      <c r="C78" s="4" t="e">
        <f ca="1">CONCATENATE(Weekly!F73," / ",Weekly!G73)</f>
        <v>#NAME?</v>
      </c>
      <c r="E78" s="4">
        <v>1</v>
      </c>
      <c r="F78" s="4">
        <v>1</v>
      </c>
      <c r="G78" s="4" t="s">
        <v>194</v>
      </c>
      <c r="H78" s="4" t="str">
        <f>LOOKUP(Weekly!E73,Workers!A:A,Workers!B:B)</f>
        <v>Ryan (57174722)</v>
      </c>
      <c r="I78" s="4" t="e">
        <f ca="1">Weekly!M73</f>
        <v>#NAME?</v>
      </c>
      <c r="J78" s="4" t="s">
        <v>195</v>
      </c>
      <c r="K78" s="4" t="s">
        <v>196</v>
      </c>
    </row>
    <row r="79" spans="1:11" ht="15.75" customHeight="1" x14ac:dyDescent="0.25">
      <c r="A79" s="4" t="s">
        <v>193</v>
      </c>
      <c r="B79" s="4" t="str">
        <f>CONCATENATE(Weekly!C74," @",Weekly!A74,"_",Weekly!B74)</f>
        <v>Empty Trash Small @NB_Family Room</v>
      </c>
      <c r="C79" s="4" t="e">
        <f ca="1">CONCATENATE(Weekly!F74," / ",Weekly!G74)</f>
        <v>#NAME?</v>
      </c>
      <c r="E79" s="4">
        <v>1</v>
      </c>
      <c r="F79" s="4">
        <v>1</v>
      </c>
      <c r="G79" s="4" t="s">
        <v>194</v>
      </c>
      <c r="H79" s="4" t="str">
        <f>LOOKUP(Weekly!E74,Workers!A:A,Workers!B:B)</f>
        <v>Ryan (57174722)</v>
      </c>
      <c r="I79" s="4" t="e">
        <f ca="1">Weekly!M74</f>
        <v>#NAME?</v>
      </c>
      <c r="J79" s="4" t="s">
        <v>195</v>
      </c>
      <c r="K79" s="4" t="s">
        <v>196</v>
      </c>
    </row>
    <row r="80" spans="1:11" ht="15.75" customHeight="1" x14ac:dyDescent="0.25">
      <c r="A80" s="4" t="s">
        <v>193</v>
      </c>
      <c r="B80" s="4" t="str">
        <f>CONCATENATE(Weekly!C75," @",Weekly!A75,"_",Weekly!B75)</f>
        <v>Vacuum Light Traffic @NB_Family Room</v>
      </c>
      <c r="C80" s="4" t="e">
        <f ca="1">CONCATENATE(Weekly!F75," / ",Weekly!G75)</f>
        <v>#NAME?</v>
      </c>
      <c r="E80" s="4">
        <v>1</v>
      </c>
      <c r="F80" s="4">
        <v>1</v>
      </c>
      <c r="G80" s="4" t="s">
        <v>194</v>
      </c>
      <c r="H80" s="4" t="str">
        <f>LOOKUP(Weekly!E75,Workers!A:A,Workers!B:B)</f>
        <v>Ryan (57174722)</v>
      </c>
      <c r="I80" s="4" t="e">
        <f ca="1">Weekly!M75</f>
        <v>#NAME?</v>
      </c>
      <c r="J80" s="4" t="s">
        <v>195</v>
      </c>
      <c r="K80" s="4" t="s">
        <v>196</v>
      </c>
    </row>
    <row r="81" spans="1:11" ht="15.75" customHeight="1" x14ac:dyDescent="0.25">
      <c r="A81" s="4" t="s">
        <v>193</v>
      </c>
      <c r="B81" s="4" t="str">
        <f>CONCATENATE(Weekly!C76," @",Weekly!A76,"_",Weekly!B76)</f>
        <v>Empty Trash Large @SB_Fellowship</v>
      </c>
      <c r="C81" s="4" t="e">
        <f ca="1">CONCATENATE(Weekly!F76," / ",Weekly!G76)</f>
        <v>#NAME?</v>
      </c>
      <c r="E81" s="4">
        <v>1</v>
      </c>
      <c r="F81" s="4">
        <v>1</v>
      </c>
      <c r="G81" s="4" t="s">
        <v>194</v>
      </c>
      <c r="H81" s="4" t="str">
        <f>LOOKUP(Weekly!E76,Workers!A:A,Workers!B:B)</f>
        <v>Ryan (57174722)</v>
      </c>
      <c r="I81" s="4" t="e">
        <f ca="1">Weekly!M76</f>
        <v>#NAME?</v>
      </c>
      <c r="J81" s="4" t="s">
        <v>195</v>
      </c>
      <c r="K81" s="4" t="s">
        <v>196</v>
      </c>
    </row>
    <row r="82" spans="1:11" ht="15.75" customHeight="1" x14ac:dyDescent="0.25">
      <c r="A82" s="4" t="s">
        <v>193</v>
      </c>
      <c r="B82" s="4" t="str">
        <f>CONCATENATE(Weekly!C77," @",Weekly!A77,"_",Weekly!B77)</f>
        <v>Vacuum Light Traffic @SB_Fellowship</v>
      </c>
      <c r="C82" s="4" t="e">
        <f ca="1">CONCATENATE(Weekly!F77," / ",Weekly!G77)</f>
        <v>#NAME?</v>
      </c>
      <c r="E82" s="4">
        <v>1</v>
      </c>
      <c r="F82" s="4">
        <v>1</v>
      </c>
      <c r="G82" s="4" t="s">
        <v>194</v>
      </c>
      <c r="H82" s="4" t="str">
        <f>LOOKUP(Weekly!E77,Workers!A:A,Workers!B:B)</f>
        <v>Ryan (57174722)</v>
      </c>
      <c r="I82" s="4" t="e">
        <f ca="1">Weekly!M77</f>
        <v>#NAME?</v>
      </c>
      <c r="J82" s="4" t="s">
        <v>195</v>
      </c>
      <c r="K82" s="4" t="s">
        <v>196</v>
      </c>
    </row>
    <row r="83" spans="1:11" ht="15.75" customHeight="1" x14ac:dyDescent="0.25">
      <c r="A83" s="4" t="s">
        <v>193</v>
      </c>
      <c r="B83" s="4" t="str">
        <f>CONCATENATE(Weekly!C78," @",Weekly!A78,"_",Weekly!B78)</f>
        <v>Empty Trash Large @NB_Fireside Cafe</v>
      </c>
      <c r="C83" s="4" t="e">
        <f ca="1">CONCATENATE(Weekly!F78," / ",Weekly!G78)</f>
        <v>#NAME?</v>
      </c>
      <c r="E83" s="4">
        <v>1</v>
      </c>
      <c r="F83" s="4">
        <v>1</v>
      </c>
      <c r="G83" s="4" t="s">
        <v>194</v>
      </c>
      <c r="H83" s="4" t="str">
        <f>LOOKUP(Weekly!E78,Workers!A:A,Workers!B:B)</f>
        <v>Ryan (57174722)</v>
      </c>
      <c r="I83" s="4" t="e">
        <f ca="1">Weekly!M78</f>
        <v>#NAME?</v>
      </c>
      <c r="J83" s="4" t="s">
        <v>195</v>
      </c>
      <c r="K83" s="4" t="s">
        <v>196</v>
      </c>
    </row>
    <row r="84" spans="1:11" ht="15.75" customHeight="1" x14ac:dyDescent="0.25">
      <c r="A84" s="4" t="s">
        <v>193</v>
      </c>
      <c r="B84" s="4" t="str">
        <f>CONCATENATE(Weekly!C79," @",Weekly!A79,"_",Weekly!B79)</f>
        <v>Mop @NB_Fireside Cafe</v>
      </c>
      <c r="C84" s="4" t="e">
        <f ca="1">CONCATENATE(Weekly!F79," / ",Weekly!G79)</f>
        <v>#NAME?</v>
      </c>
      <c r="E84" s="4">
        <v>1</v>
      </c>
      <c r="F84" s="4">
        <v>1</v>
      </c>
      <c r="G84" s="4" t="s">
        <v>194</v>
      </c>
      <c r="H84" s="4" t="str">
        <f>LOOKUP(Weekly!E79,Workers!A:A,Workers!B:B)</f>
        <v>Ryan (57174722)</v>
      </c>
      <c r="I84" s="4" t="e">
        <f ca="1">Weekly!M79</f>
        <v>#NAME?</v>
      </c>
      <c r="J84" s="4" t="s">
        <v>195</v>
      </c>
      <c r="K84" s="4" t="s">
        <v>196</v>
      </c>
    </row>
    <row r="85" spans="1:11" ht="15.75" customHeight="1" x14ac:dyDescent="0.25">
      <c r="A85" s="4" t="s">
        <v>193</v>
      </c>
      <c r="B85" s="4" t="str">
        <f>CONCATENATE(Weekly!C80," @",Weekly!A80,"_",Weekly!B80)</f>
        <v>Scrub Sinks @NB_Fireside Cafe</v>
      </c>
      <c r="C85" s="4" t="e">
        <f ca="1">CONCATENATE(Weekly!F80," / ",Weekly!G80)</f>
        <v>#NAME?</v>
      </c>
      <c r="E85" s="4">
        <v>1</v>
      </c>
      <c r="F85" s="4">
        <v>1</v>
      </c>
      <c r="G85" s="4" t="s">
        <v>194</v>
      </c>
      <c r="H85" s="4" t="str">
        <f>LOOKUP(Weekly!E80,Workers!A:A,Workers!B:B)</f>
        <v>Ryan (57174722)</v>
      </c>
      <c r="I85" s="4" t="e">
        <f ca="1">Weekly!M80</f>
        <v>#NAME?</v>
      </c>
      <c r="J85" s="4" t="s">
        <v>195</v>
      </c>
      <c r="K85" s="4" t="s">
        <v>196</v>
      </c>
    </row>
    <row r="86" spans="1:11" ht="15.75" customHeight="1" x14ac:dyDescent="0.25">
      <c r="A86" s="4" t="s">
        <v>193</v>
      </c>
      <c r="B86" s="4" t="str">
        <f>CONCATENATE(Weekly!C81," @",Weekly!A81,"_",Weekly!B81)</f>
        <v>Stock Kitchen Supplies @NB_Fireside Cafe</v>
      </c>
      <c r="C86" s="4" t="e">
        <f ca="1">CONCATENATE(Weekly!F81," / ",Weekly!G81)</f>
        <v>#NAME?</v>
      </c>
      <c r="E86" s="4">
        <v>1</v>
      </c>
      <c r="F86" s="4">
        <v>1</v>
      </c>
      <c r="G86" s="4" t="s">
        <v>194</v>
      </c>
      <c r="H86" s="4" t="str">
        <f>LOOKUP(Weekly!E81,Workers!A:A,Workers!B:B)</f>
        <v>Ryan (57174722)</v>
      </c>
      <c r="I86" s="4" t="e">
        <f ca="1">Weekly!M81</f>
        <v>#NAME?</v>
      </c>
      <c r="J86" s="4" t="s">
        <v>195</v>
      </c>
      <c r="K86" s="4" t="s">
        <v>196</v>
      </c>
    </row>
    <row r="87" spans="1:11" ht="15.75" customHeight="1" x14ac:dyDescent="0.25">
      <c r="A87" s="4" t="s">
        <v>193</v>
      </c>
      <c r="B87" s="4" t="str">
        <f>CONCATENATE(Weekly!C82," @",Weekly!A82,"_",Weekly!B82)</f>
        <v>Sweep @NB_Fireside Cafe</v>
      </c>
      <c r="C87" s="4" t="e">
        <f ca="1">CONCATENATE(Weekly!F82," / ",Weekly!G82)</f>
        <v>#NAME?</v>
      </c>
      <c r="E87" s="4">
        <v>1</v>
      </c>
      <c r="F87" s="4">
        <v>1</v>
      </c>
      <c r="G87" s="4" t="s">
        <v>194</v>
      </c>
      <c r="H87" s="4" t="str">
        <f>LOOKUP(Weekly!E82,Workers!A:A,Workers!B:B)</f>
        <v>Ryan (57174722)</v>
      </c>
      <c r="I87" s="4" t="e">
        <f ca="1">Weekly!M82</f>
        <v>#NAME?</v>
      </c>
      <c r="J87" s="4" t="s">
        <v>195</v>
      </c>
      <c r="K87" s="4" t="s">
        <v>196</v>
      </c>
    </row>
    <row r="88" spans="1:11" ht="15.75" customHeight="1" x14ac:dyDescent="0.25">
      <c r="A88" s="4" t="s">
        <v>193</v>
      </c>
      <c r="B88" s="4" t="str">
        <f>CONCATENATE(Weekly!C83," @",Weekly!A83,"_",Weekly!B83)</f>
        <v>Wipe down Counters @NB_Fireside Cafe</v>
      </c>
      <c r="C88" s="4" t="e">
        <f ca="1">CONCATENATE(Weekly!F83," / ",Weekly!G83)</f>
        <v>#NAME?</v>
      </c>
      <c r="E88" s="4">
        <v>1</v>
      </c>
      <c r="F88" s="4">
        <v>1</v>
      </c>
      <c r="G88" s="4" t="s">
        <v>194</v>
      </c>
      <c r="H88" s="4" t="str">
        <f>LOOKUP(Weekly!E83,Workers!A:A,Workers!B:B)</f>
        <v>Ryan (57174722)</v>
      </c>
      <c r="I88" s="4" t="e">
        <f ca="1">Weekly!M83</f>
        <v>#NAME?</v>
      </c>
      <c r="J88" s="4" t="s">
        <v>195</v>
      </c>
      <c r="K88" s="4" t="s">
        <v>196</v>
      </c>
    </row>
    <row r="89" spans="1:11" ht="15.75" customHeight="1" x14ac:dyDescent="0.25">
      <c r="A89" s="4" t="s">
        <v>193</v>
      </c>
      <c r="B89" s="4" t="str">
        <f>CONCATENATE(Weekly!C84," @",Weekly!A84,"_",Weekly!B84)</f>
        <v>Wipe down Sink @NB_Fireside Cafe</v>
      </c>
      <c r="C89" s="4" t="e">
        <f ca="1">CONCATENATE(Weekly!F84," / ",Weekly!G84)</f>
        <v>#NAME?</v>
      </c>
      <c r="E89" s="4">
        <v>1</v>
      </c>
      <c r="F89" s="4">
        <v>1</v>
      </c>
      <c r="G89" s="4" t="s">
        <v>194</v>
      </c>
      <c r="H89" s="4" t="str">
        <f>LOOKUP(Weekly!E84,Workers!A:A,Workers!B:B)</f>
        <v>Ryan (57174722)</v>
      </c>
      <c r="I89" s="4" t="e">
        <f ca="1">Weekly!M84</f>
        <v>#NAME?</v>
      </c>
      <c r="J89" s="4" t="s">
        <v>195</v>
      </c>
      <c r="K89" s="4" t="s">
        <v>196</v>
      </c>
    </row>
    <row r="90" spans="1:11" ht="15.75" customHeight="1" x14ac:dyDescent="0.25">
      <c r="A90" s="4" t="s">
        <v>193</v>
      </c>
      <c r="B90" s="4" t="str">
        <f>CONCATENATE(Weekly!C85," @",Weekly!A85,"_",Weekly!B85)</f>
        <v>Wipe down Tables @NB_Fireside Cafe</v>
      </c>
      <c r="C90" s="4" t="e">
        <f ca="1">CONCATENATE(Weekly!F85," / ",Weekly!G85)</f>
        <v>#NAME?</v>
      </c>
      <c r="E90" s="4">
        <v>1</v>
      </c>
      <c r="F90" s="4">
        <v>1</v>
      </c>
      <c r="G90" s="4" t="s">
        <v>194</v>
      </c>
      <c r="H90" s="4" t="str">
        <f>LOOKUP(Weekly!E85,Workers!A:A,Workers!B:B)</f>
        <v>Ryan (57174722)</v>
      </c>
      <c r="I90" s="4" t="e">
        <f ca="1">Weekly!M85</f>
        <v>#NAME?</v>
      </c>
      <c r="J90" s="4" t="s">
        <v>195</v>
      </c>
      <c r="K90" s="4" t="s">
        <v>196</v>
      </c>
    </row>
    <row r="91" spans="1:11" ht="15.75" customHeight="1" x14ac:dyDescent="0.25">
      <c r="A91" s="4" t="s">
        <v>193</v>
      </c>
      <c r="B91" s="4" t="str">
        <f>CONCATENATE(Weekly!C86," @",Weekly!A86,"_",Weekly!B86)</f>
        <v>Empty Trash Large @NB_Fireside Room</v>
      </c>
      <c r="C91" s="4" t="e">
        <f ca="1">CONCATENATE(Weekly!F86," / ",Weekly!G86)</f>
        <v>#NAME?</v>
      </c>
      <c r="E91" s="4">
        <v>1</v>
      </c>
      <c r="F91" s="4">
        <v>1</v>
      </c>
      <c r="G91" s="4" t="s">
        <v>194</v>
      </c>
      <c r="H91" s="4" t="str">
        <f>LOOKUP(Weekly!E86,Workers!A:A,Workers!B:B)</f>
        <v>Ryan (57174722)</v>
      </c>
      <c r="I91" s="4" t="e">
        <f ca="1">Weekly!M86</f>
        <v>#NAME?</v>
      </c>
      <c r="J91" s="4" t="s">
        <v>195</v>
      </c>
      <c r="K91" s="4" t="s">
        <v>196</v>
      </c>
    </row>
    <row r="92" spans="1:11" ht="15.75" customHeight="1" x14ac:dyDescent="0.25">
      <c r="A92" s="4" t="s">
        <v>193</v>
      </c>
      <c r="B92" s="4" t="str">
        <f>CONCATENATE(Weekly!C87," @",Weekly!A87,"_",Weekly!B87)</f>
        <v>Spot Clean Glass @NB_Fireside Room</v>
      </c>
      <c r="C92" s="4" t="e">
        <f ca="1">CONCATENATE(Weekly!F87," / ",Weekly!G87)</f>
        <v>#NAME?</v>
      </c>
      <c r="E92" s="4">
        <v>1</v>
      </c>
      <c r="F92" s="4">
        <v>1</v>
      </c>
      <c r="G92" s="4" t="s">
        <v>194</v>
      </c>
      <c r="H92" s="4" t="str">
        <f>LOOKUP(Weekly!E87,Workers!A:A,Workers!B:B)</f>
        <v>Garrett (57173225)</v>
      </c>
      <c r="I92" s="4" t="e">
        <f ca="1">Weekly!M87</f>
        <v>#NAME?</v>
      </c>
      <c r="J92" s="4" t="s">
        <v>195</v>
      </c>
      <c r="K92" s="4" t="s">
        <v>196</v>
      </c>
    </row>
    <row r="93" spans="1:11" ht="15.75" customHeight="1" x14ac:dyDescent="0.25">
      <c r="A93" s="4" t="s">
        <v>193</v>
      </c>
      <c r="B93" s="4" t="str">
        <f>CONCATENATE(Weekly!C88," @",Weekly!A88,"_",Weekly!B88)</f>
        <v>Vacuum Light Traffic @NB_Fireside Room</v>
      </c>
      <c r="C93" s="4" t="e">
        <f ca="1">CONCATENATE(Weekly!F88," / ",Weekly!G88)</f>
        <v>#NAME?</v>
      </c>
      <c r="E93" s="4">
        <v>1</v>
      </c>
      <c r="F93" s="4">
        <v>1</v>
      </c>
      <c r="G93" s="4" t="s">
        <v>194</v>
      </c>
      <c r="H93" s="4" t="str">
        <f>LOOKUP(Weekly!E88,Workers!A:A,Workers!B:B)</f>
        <v>Ryan (57174722)</v>
      </c>
      <c r="I93" s="4" t="e">
        <f ca="1">Weekly!M88</f>
        <v>#NAME?</v>
      </c>
      <c r="J93" s="4" t="s">
        <v>195</v>
      </c>
      <c r="K93" s="4" t="s">
        <v>196</v>
      </c>
    </row>
    <row r="94" spans="1:11" ht="15.75" customHeight="1" x14ac:dyDescent="0.25">
      <c r="A94" s="4" t="s">
        <v>193</v>
      </c>
      <c r="B94" s="4" t="str">
        <f>CONCATENATE(Weekly!C89," @",Weekly!A89,"_",Weekly!B89)</f>
        <v>Wipe down Tables @NB_Fireside Room</v>
      </c>
      <c r="C94" s="4" t="e">
        <f ca="1">CONCATENATE(Weekly!F89," / ",Weekly!G89)</f>
        <v>#NAME?</v>
      </c>
      <c r="E94" s="4">
        <v>1</v>
      </c>
      <c r="F94" s="4">
        <v>1</v>
      </c>
      <c r="G94" s="4" t="s">
        <v>194</v>
      </c>
      <c r="H94" s="4" t="str">
        <f>LOOKUP(Weekly!E89,Workers!A:A,Workers!B:B)</f>
        <v>Ryan (57174722)</v>
      </c>
      <c r="I94" s="4" t="e">
        <f ca="1">Weekly!M89</f>
        <v>#NAME?</v>
      </c>
      <c r="J94" s="4" t="s">
        <v>195</v>
      </c>
      <c r="K94" s="4" t="s">
        <v>196</v>
      </c>
    </row>
    <row r="95" spans="1:11" ht="15.75" customHeight="1" x14ac:dyDescent="0.25">
      <c r="A95" s="4" t="s">
        <v>193</v>
      </c>
      <c r="B95" s="4" t="str">
        <f>CONCATENATE(Weekly!C90," @",Weekly!A90,"_",Weekly!B90)</f>
        <v>Empty Trash Large @NB_Green Room</v>
      </c>
      <c r="C95" s="4" t="e">
        <f ca="1">CONCATENATE(Weekly!F90," / ",Weekly!G90)</f>
        <v>#NAME?</v>
      </c>
      <c r="E95" s="4">
        <v>1</v>
      </c>
      <c r="F95" s="4">
        <v>1</v>
      </c>
      <c r="G95" s="4" t="s">
        <v>194</v>
      </c>
      <c r="H95" s="4" t="str">
        <f>LOOKUP(Weekly!E90,Workers!A:A,Workers!B:B)</f>
        <v>Garrett (57173225)</v>
      </c>
      <c r="I95" s="4" t="e">
        <f ca="1">Weekly!M90</f>
        <v>#NAME?</v>
      </c>
      <c r="J95" s="4" t="s">
        <v>195</v>
      </c>
      <c r="K95" s="4" t="s">
        <v>196</v>
      </c>
    </row>
    <row r="96" spans="1:11" ht="15.75" customHeight="1" x14ac:dyDescent="0.25">
      <c r="A96" s="4" t="s">
        <v>193</v>
      </c>
      <c r="B96" s="4" t="str">
        <f>CONCATENATE(Weekly!C91," @",Weekly!A91,"_",Weekly!B91)</f>
        <v>Vacuum Light Traffic @NB_Green Room</v>
      </c>
      <c r="C96" s="4" t="e">
        <f ca="1">CONCATENATE(Weekly!F91," / ",Weekly!G91)</f>
        <v>#NAME?</v>
      </c>
      <c r="E96" s="4">
        <v>1</v>
      </c>
      <c r="F96" s="4">
        <v>1</v>
      </c>
      <c r="G96" s="4" t="s">
        <v>194</v>
      </c>
      <c r="H96" s="4" t="str">
        <f>LOOKUP(Weekly!E91,Workers!A:A,Workers!B:B)</f>
        <v>Garrett (57173225)</v>
      </c>
      <c r="I96" s="4" t="e">
        <f ca="1">Weekly!M91</f>
        <v>#NAME?</v>
      </c>
      <c r="J96" s="4" t="s">
        <v>195</v>
      </c>
      <c r="K96" s="4" t="s">
        <v>196</v>
      </c>
    </row>
    <row r="97" spans="1:11" ht="15.75" customHeight="1" x14ac:dyDescent="0.25">
      <c r="A97" s="4" t="s">
        <v>193</v>
      </c>
      <c r="B97" s="4" t="str">
        <f>CONCATENATE(Weekly!C92," @",Weekly!A92,"_",Weekly!B92)</f>
        <v>Wipe down Tables @NB_Green Room</v>
      </c>
      <c r="C97" s="4" t="e">
        <f ca="1">CONCATENATE(Weekly!F92," / ",Weekly!G92)</f>
        <v>#NAME?</v>
      </c>
      <c r="E97" s="4">
        <v>1</v>
      </c>
      <c r="F97" s="4">
        <v>1</v>
      </c>
      <c r="G97" s="4" t="s">
        <v>194</v>
      </c>
      <c r="H97" s="4" t="str">
        <f>LOOKUP(Weekly!E92,Workers!A:A,Workers!B:B)</f>
        <v>Garrett (57173225)</v>
      </c>
      <c r="I97" s="4" t="e">
        <f ca="1">Weekly!M92</f>
        <v>#NAME?</v>
      </c>
      <c r="J97" s="4" t="s">
        <v>195</v>
      </c>
      <c r="K97" s="4" t="s">
        <v>196</v>
      </c>
    </row>
    <row r="98" spans="1:11" ht="15.75" customHeight="1" x14ac:dyDescent="0.25">
      <c r="A98" s="4" t="s">
        <v>193</v>
      </c>
      <c r="B98" s="4" t="str">
        <f>CONCATENATE(Weekly!C93," @",Weekly!A93,"_",Weekly!B93)</f>
        <v>Breakdown Sunday @NB_Gym</v>
      </c>
      <c r="C98" s="4" t="e">
        <f ca="1">CONCATENATE(Weekly!F93," / ",Weekly!G93)</f>
        <v>#NAME?</v>
      </c>
      <c r="E98" s="4">
        <v>1</v>
      </c>
      <c r="F98" s="4">
        <v>1</v>
      </c>
      <c r="G98" s="4" t="s">
        <v>194</v>
      </c>
      <c r="H98" s="4" t="str">
        <f>LOOKUP(Weekly!E93,Workers!A:A,Workers!B:B)</f>
        <v>Garrett (57173225)</v>
      </c>
      <c r="I98" s="4" t="e">
        <f ca="1">Weekly!M93</f>
        <v>#NAME?</v>
      </c>
      <c r="J98" s="4" t="s">
        <v>195</v>
      </c>
      <c r="K98" s="4" t="s">
        <v>196</v>
      </c>
    </row>
    <row r="99" spans="1:11" ht="15.75" customHeight="1" x14ac:dyDescent="0.25">
      <c r="A99" s="4" t="s">
        <v>193</v>
      </c>
      <c r="B99" s="4" t="str">
        <f>CONCATENATE(Weekly!C94," @",Weekly!A94,"_",Weekly!B94)</f>
        <v>Disinfect Water Fountain @NB_Gym</v>
      </c>
      <c r="C99" s="4" t="e">
        <f ca="1">CONCATENATE(Weekly!F94," / ",Weekly!G94)</f>
        <v>#NAME?</v>
      </c>
      <c r="E99" s="4">
        <v>1</v>
      </c>
      <c r="F99" s="4">
        <v>1</v>
      </c>
      <c r="G99" s="4" t="s">
        <v>194</v>
      </c>
      <c r="H99" s="4" t="str">
        <f>LOOKUP(Weekly!E94,Workers!A:A,Workers!B:B)</f>
        <v>Ryan (57174722)</v>
      </c>
      <c r="I99" s="4" t="e">
        <f ca="1">Weekly!M94</f>
        <v>#NAME?</v>
      </c>
      <c r="J99" s="4" t="s">
        <v>195</v>
      </c>
      <c r="K99" s="4" t="s">
        <v>196</v>
      </c>
    </row>
    <row r="100" spans="1:11" ht="15.75" customHeight="1" x14ac:dyDescent="0.25">
      <c r="A100" s="4" t="s">
        <v>193</v>
      </c>
      <c r="B100" s="4" t="str">
        <f>CONCATENATE(Weekly!C95," @",Weekly!A95,"_",Weekly!B95)</f>
        <v>Empty Trash Large @NB_Gym</v>
      </c>
      <c r="C100" s="4" t="e">
        <f ca="1">CONCATENATE(Weekly!F95," / ",Weekly!G95)</f>
        <v>#NAME?</v>
      </c>
      <c r="E100" s="4">
        <v>1</v>
      </c>
      <c r="F100" s="4">
        <v>1</v>
      </c>
      <c r="G100" s="4" t="s">
        <v>194</v>
      </c>
      <c r="H100" s="4" t="str">
        <f>LOOKUP(Weekly!E95,Workers!A:A,Workers!B:B)</f>
        <v>Garrett (57173225)</v>
      </c>
      <c r="I100" s="4" t="e">
        <f ca="1">Weekly!M95</f>
        <v>#NAME?</v>
      </c>
      <c r="J100" s="4" t="s">
        <v>195</v>
      </c>
      <c r="K100" s="4" t="s">
        <v>196</v>
      </c>
    </row>
    <row r="101" spans="1:11" ht="15.75" customHeight="1" x14ac:dyDescent="0.25">
      <c r="A101" s="4" t="s">
        <v>193</v>
      </c>
      <c r="B101" s="4" t="str">
        <f>CONCATENATE(Weekly!C96," @",Weekly!A96,"_",Weekly!B96)</f>
        <v>Mop @NB_Gym</v>
      </c>
      <c r="C101" s="4" t="e">
        <f ca="1">CONCATENATE(Weekly!F96," / ",Weekly!G96)</f>
        <v>#NAME?</v>
      </c>
      <c r="E101" s="4">
        <v>1</v>
      </c>
      <c r="F101" s="4">
        <v>1</v>
      </c>
      <c r="G101" s="4" t="s">
        <v>194</v>
      </c>
      <c r="H101" s="4" t="str">
        <f>LOOKUP(Weekly!E96,Workers!A:A,Workers!B:B)</f>
        <v>Garrett (57173225)</v>
      </c>
      <c r="I101" s="4" t="e">
        <f ca="1">Weekly!M96</f>
        <v>#NAME?</v>
      </c>
      <c r="J101" s="4" t="s">
        <v>195</v>
      </c>
      <c r="K101" s="4" t="s">
        <v>196</v>
      </c>
    </row>
    <row r="102" spans="1:11" ht="15.75" customHeight="1" x14ac:dyDescent="0.25">
      <c r="A102" s="4" t="s">
        <v>193</v>
      </c>
      <c r="B102" s="4" t="str">
        <f>CONCATENATE(Weekly!C97," @",Weekly!A97,"_",Weekly!B97)</f>
        <v>Sweep @NB_Gym</v>
      </c>
      <c r="C102" s="4" t="e">
        <f ca="1">CONCATENATE(Weekly!F97," / ",Weekly!G97)</f>
        <v>#NAME?</v>
      </c>
      <c r="E102" s="4">
        <v>1</v>
      </c>
      <c r="F102" s="4">
        <v>1</v>
      </c>
      <c r="G102" s="4" t="s">
        <v>194</v>
      </c>
      <c r="H102" s="4" t="str">
        <f>LOOKUP(Weekly!E97,Workers!A:A,Workers!B:B)</f>
        <v>Garrett (57173225)</v>
      </c>
      <c r="I102" s="4" t="e">
        <f ca="1">Weekly!M97</f>
        <v>#NAME?</v>
      </c>
      <c r="J102" s="4" t="s">
        <v>195</v>
      </c>
      <c r="K102" s="4" t="s">
        <v>196</v>
      </c>
    </row>
    <row r="103" spans="1:11" ht="15.75" customHeight="1" x14ac:dyDescent="0.25">
      <c r="A103" s="4" t="s">
        <v>193</v>
      </c>
      <c r="B103" s="4" t="str">
        <f>CONCATENATE(Weekly!C98," @",Weekly!A98,"_",Weekly!B98)</f>
        <v>Vacuum Rugs @NB_Gym</v>
      </c>
      <c r="C103" s="4" t="e">
        <f ca="1">CONCATENATE(Weekly!F98," / ",Weekly!G98)</f>
        <v>#NAME?</v>
      </c>
      <c r="E103" s="4">
        <v>1</v>
      </c>
      <c r="F103" s="4">
        <v>1</v>
      </c>
      <c r="G103" s="4" t="s">
        <v>194</v>
      </c>
      <c r="H103" s="4" t="str">
        <f>LOOKUP(Weekly!E98,Workers!A:A,Workers!B:B)</f>
        <v>Garrett (57173225)</v>
      </c>
      <c r="I103" s="4" t="e">
        <f ca="1">Weekly!M98</f>
        <v>#NAME?</v>
      </c>
      <c r="J103" s="4" t="s">
        <v>195</v>
      </c>
      <c r="K103" s="4" t="s">
        <v>196</v>
      </c>
    </row>
    <row r="104" spans="1:11" ht="15.75" customHeight="1" x14ac:dyDescent="0.25">
      <c r="A104" s="4" t="s">
        <v>193</v>
      </c>
      <c r="B104" s="4" t="str">
        <f>CONCATENATE(Weekly!C99," @",Weekly!A99,"_",Weekly!B99)</f>
        <v>Vacuum Stairs @NB_Gym</v>
      </c>
      <c r="C104" s="4" t="e">
        <f ca="1">CONCATENATE(Weekly!F99," / ",Weekly!G99)</f>
        <v>#NAME?</v>
      </c>
      <c r="E104" s="4">
        <v>1</v>
      </c>
      <c r="F104" s="4">
        <v>1</v>
      </c>
      <c r="G104" s="4" t="s">
        <v>194</v>
      </c>
      <c r="H104" s="4" t="str">
        <f>LOOKUP(Weekly!E99,Workers!A:A,Workers!B:B)</f>
        <v>Garrett (57173225)</v>
      </c>
      <c r="I104" s="4" t="e">
        <f ca="1">Weekly!M99</f>
        <v>#NAME?</v>
      </c>
      <c r="J104" s="4" t="s">
        <v>195</v>
      </c>
      <c r="K104" s="4" t="s">
        <v>196</v>
      </c>
    </row>
    <row r="105" spans="1:11" ht="15.75" customHeight="1" x14ac:dyDescent="0.25">
      <c r="A105" s="4" t="s">
        <v>193</v>
      </c>
      <c r="B105" s="4" t="str">
        <f>CONCATENATE(Weekly!C110," @",Weekly!A110,"_",Weekly!B110)</f>
        <v>Empty Trash Large @SB_Kitchen</v>
      </c>
      <c r="C105" s="4" t="e">
        <f ca="1">CONCATENATE(Weekly!F110," / ",Weekly!G110)</f>
        <v>#NAME?</v>
      </c>
      <c r="E105" s="4">
        <v>1</v>
      </c>
      <c r="F105" s="4">
        <v>1</v>
      </c>
      <c r="G105" s="4" t="s">
        <v>194</v>
      </c>
      <c r="H105" s="4" t="str">
        <f>LOOKUP(Weekly!E110,Workers!A:A,Workers!B:B)</f>
        <v>Ryan (57174722)</v>
      </c>
      <c r="I105" s="4" t="e">
        <f ca="1">Weekly!M110</f>
        <v>#NAME?</v>
      </c>
      <c r="J105" s="4" t="s">
        <v>195</v>
      </c>
      <c r="K105" s="4" t="s">
        <v>196</v>
      </c>
    </row>
    <row r="106" spans="1:11" ht="15.75" customHeight="1" x14ac:dyDescent="0.25">
      <c r="A106" s="4" t="s">
        <v>193</v>
      </c>
      <c r="B106" s="4" t="str">
        <f>CONCATENATE(Weekly!C111," @",Weekly!A111,"_",Weekly!B111)</f>
        <v>Mop @NB_Kitchen</v>
      </c>
      <c r="C106" s="4" t="e">
        <f ca="1">CONCATENATE(Weekly!F111," / ",Weekly!G111)</f>
        <v>#NAME?</v>
      </c>
      <c r="E106" s="4">
        <v>1</v>
      </c>
      <c r="F106" s="4">
        <v>1</v>
      </c>
      <c r="G106" s="4" t="s">
        <v>194</v>
      </c>
      <c r="H106" s="4" t="str">
        <f>LOOKUP(Weekly!E111,Workers!A:A,Workers!B:B)</f>
        <v>Ryan (57174722)</v>
      </c>
      <c r="I106" s="4" t="e">
        <f ca="1">Weekly!M111</f>
        <v>#NAME?</v>
      </c>
      <c r="J106" s="4" t="s">
        <v>195</v>
      </c>
      <c r="K106" s="4" t="s">
        <v>196</v>
      </c>
    </row>
    <row r="107" spans="1:11" ht="15.75" customHeight="1" x14ac:dyDescent="0.25">
      <c r="A107" s="4" t="s">
        <v>193</v>
      </c>
      <c r="B107" s="4" t="str">
        <f>CONCATENATE(Weekly!C112," @",Weekly!A112,"_",Weekly!B112)</f>
        <v>Mop @SB_Kitchen</v>
      </c>
      <c r="C107" s="4" t="e">
        <f ca="1">CONCATENATE(Weekly!F112," / ",Weekly!G112)</f>
        <v>#NAME?</v>
      </c>
      <c r="E107" s="4">
        <v>1</v>
      </c>
      <c r="F107" s="4">
        <v>1</v>
      </c>
      <c r="G107" s="4" t="s">
        <v>194</v>
      </c>
      <c r="H107" s="4" t="str">
        <f>LOOKUP(Weekly!E112,Workers!A:A,Workers!B:B)</f>
        <v>Ryan (57174722)</v>
      </c>
      <c r="I107" s="4" t="e">
        <f ca="1">Weekly!M112</f>
        <v>#NAME?</v>
      </c>
      <c r="J107" s="4" t="s">
        <v>195</v>
      </c>
      <c r="K107" s="4" t="s">
        <v>196</v>
      </c>
    </row>
    <row r="108" spans="1:11" ht="15.75" customHeight="1" x14ac:dyDescent="0.25">
      <c r="A108" s="4" t="s">
        <v>193</v>
      </c>
      <c r="B108" s="4" t="str">
        <f>CONCATENATE(Weekly!C113," @",Weekly!A113,"_",Weekly!B113)</f>
        <v>Scrub Sinks @NB_Kitchen</v>
      </c>
      <c r="C108" s="4" t="e">
        <f ca="1">CONCATENATE(Weekly!F113," / ",Weekly!G113)</f>
        <v>#NAME?</v>
      </c>
      <c r="E108" s="4">
        <v>1</v>
      </c>
      <c r="F108" s="4">
        <v>1</v>
      </c>
      <c r="G108" s="4" t="s">
        <v>194</v>
      </c>
      <c r="H108" s="4" t="str">
        <f>LOOKUP(Weekly!E113,Workers!A:A,Workers!B:B)</f>
        <v>Ryan (57174722)</v>
      </c>
      <c r="I108" s="4" t="e">
        <f ca="1">Weekly!M113</f>
        <v>#NAME?</v>
      </c>
      <c r="J108" s="4" t="s">
        <v>195</v>
      </c>
      <c r="K108" s="4" t="s">
        <v>196</v>
      </c>
    </row>
    <row r="109" spans="1:11" ht="15.75" customHeight="1" x14ac:dyDescent="0.25">
      <c r="A109" s="4" t="s">
        <v>193</v>
      </c>
      <c r="B109" s="4" t="str">
        <f>CONCATENATE(Weekly!C114," @",Weekly!A114,"_",Weekly!B114)</f>
        <v>Stock Kitchen Supplies @NB_Kitchen</v>
      </c>
      <c r="C109" s="4" t="e">
        <f ca="1">CONCATENATE(Weekly!F114," / ",Weekly!G114)</f>
        <v>#NAME?</v>
      </c>
      <c r="E109" s="4">
        <v>1</v>
      </c>
      <c r="F109" s="4">
        <v>1</v>
      </c>
      <c r="G109" s="4" t="s">
        <v>194</v>
      </c>
      <c r="H109" s="4" t="str">
        <f>LOOKUP(Weekly!E114,Workers!A:A,Workers!B:B)</f>
        <v>Ryan (57174722)</v>
      </c>
      <c r="I109" s="4" t="e">
        <f ca="1">Weekly!M114</f>
        <v>#NAME?</v>
      </c>
      <c r="J109" s="4" t="s">
        <v>195</v>
      </c>
      <c r="K109" s="4" t="s">
        <v>196</v>
      </c>
    </row>
    <row r="110" spans="1:11" ht="15.75" customHeight="1" x14ac:dyDescent="0.25">
      <c r="A110" s="4" t="s">
        <v>193</v>
      </c>
      <c r="B110" s="4" t="str">
        <f>CONCATENATE(Weekly!C115," @",Weekly!A115,"_",Weekly!B115)</f>
        <v>Stock Kitchen Supplies @SB_Kitchen</v>
      </c>
      <c r="C110" s="4" t="e">
        <f ca="1">CONCATENATE(Weekly!F115," / ",Weekly!G115)</f>
        <v>#NAME?</v>
      </c>
      <c r="E110" s="4">
        <v>1</v>
      </c>
      <c r="F110" s="4">
        <v>1</v>
      </c>
      <c r="G110" s="4" t="s">
        <v>194</v>
      </c>
      <c r="H110" s="4" t="str">
        <f>LOOKUP(Weekly!E115,Workers!A:A,Workers!B:B)</f>
        <v>Ryan (57174722)</v>
      </c>
      <c r="I110" s="4" t="e">
        <f ca="1">Weekly!M115</f>
        <v>#NAME?</v>
      </c>
      <c r="J110" s="4" t="s">
        <v>195</v>
      </c>
      <c r="K110" s="4" t="s">
        <v>196</v>
      </c>
    </row>
    <row r="111" spans="1:11" ht="15.75" customHeight="1" x14ac:dyDescent="0.25">
      <c r="A111" s="4" t="s">
        <v>193</v>
      </c>
      <c r="B111" s="4" t="str">
        <f>CONCATENATE(Weekly!C116," @",Weekly!A116,"_",Weekly!B116)</f>
        <v>Sweep @NB_Kitchen</v>
      </c>
      <c r="C111" s="4" t="e">
        <f ca="1">CONCATENATE(Weekly!F116," / ",Weekly!G116)</f>
        <v>#NAME?</v>
      </c>
      <c r="E111" s="4">
        <v>1</v>
      </c>
      <c r="F111" s="4">
        <v>1</v>
      </c>
      <c r="G111" s="4" t="s">
        <v>194</v>
      </c>
      <c r="H111" s="4" t="str">
        <f>LOOKUP(Weekly!E116,Workers!A:A,Workers!B:B)</f>
        <v>Ryan (57174722)</v>
      </c>
      <c r="I111" s="4" t="e">
        <f ca="1">Weekly!M116</f>
        <v>#NAME?</v>
      </c>
      <c r="J111" s="4" t="s">
        <v>195</v>
      </c>
      <c r="K111" s="4" t="s">
        <v>196</v>
      </c>
    </row>
    <row r="112" spans="1:11" ht="15.75" customHeight="1" x14ac:dyDescent="0.25">
      <c r="A112" s="4" t="s">
        <v>193</v>
      </c>
      <c r="B112" s="4" t="str">
        <f>CONCATENATE(Weekly!C117," @",Weekly!A117,"_",Weekly!B117)</f>
        <v>Sweep @SB_Kitchen</v>
      </c>
      <c r="C112" s="4" t="e">
        <f ca="1">CONCATENATE(Weekly!F117," / ",Weekly!G117)</f>
        <v>#NAME?</v>
      </c>
      <c r="E112" s="4">
        <v>1</v>
      </c>
      <c r="F112" s="4">
        <v>1</v>
      </c>
      <c r="G112" s="4" t="s">
        <v>194</v>
      </c>
      <c r="H112" s="4" t="str">
        <f>LOOKUP(Weekly!E117,Workers!A:A,Workers!B:B)</f>
        <v>Ryan (57174722)</v>
      </c>
      <c r="I112" s="4" t="e">
        <f ca="1">Weekly!M117</f>
        <v>#NAME?</v>
      </c>
      <c r="J112" s="4" t="s">
        <v>195</v>
      </c>
      <c r="K112" s="4" t="s">
        <v>196</v>
      </c>
    </row>
    <row r="113" spans="1:11" ht="15.75" customHeight="1" x14ac:dyDescent="0.25">
      <c r="A113" s="4" t="s">
        <v>193</v>
      </c>
      <c r="B113" s="4" t="str">
        <f>CONCATENATE(Weekly!C118," @",Weekly!A118,"_",Weekly!B118)</f>
        <v>Wash Towels @NB_Kitchen</v>
      </c>
      <c r="C113" s="4" t="e">
        <f ca="1">CONCATENATE(Weekly!F118," / ",Weekly!G118)</f>
        <v>#NAME?</v>
      </c>
      <c r="E113" s="4">
        <v>1</v>
      </c>
      <c r="F113" s="4">
        <v>1</v>
      </c>
      <c r="G113" s="4" t="s">
        <v>194</v>
      </c>
      <c r="H113" s="4" t="str">
        <f>LOOKUP(Weekly!E118,Workers!A:A,Workers!B:B)</f>
        <v>Ryan (57174722)</v>
      </c>
      <c r="I113" s="4" t="e">
        <f ca="1">Weekly!M118</f>
        <v>#NAME?</v>
      </c>
      <c r="J113" s="4" t="s">
        <v>195</v>
      </c>
      <c r="K113" s="4" t="s">
        <v>196</v>
      </c>
    </row>
    <row r="114" spans="1:11" ht="15.75" customHeight="1" x14ac:dyDescent="0.25">
      <c r="A114" s="4" t="s">
        <v>193</v>
      </c>
      <c r="B114" s="4" t="str">
        <f>CONCATENATE(Weekly!C119," @",Weekly!A119,"_",Weekly!B119)</f>
        <v>Wash Towels @SB_Kitchen</v>
      </c>
      <c r="C114" s="4" t="e">
        <f ca="1">CONCATENATE(Weekly!F119," / ",Weekly!G119)</f>
        <v>#NAME?</v>
      </c>
      <c r="E114" s="4">
        <v>1</v>
      </c>
      <c r="F114" s="4">
        <v>1</v>
      </c>
      <c r="G114" s="4" t="s">
        <v>194</v>
      </c>
      <c r="H114" s="4" t="str">
        <f>LOOKUP(Weekly!E119,Workers!A:A,Workers!B:B)</f>
        <v>Ryan (57174722)</v>
      </c>
      <c r="I114" s="4" t="e">
        <f ca="1">Weekly!M119</f>
        <v>#NAME?</v>
      </c>
      <c r="J114" s="4" t="s">
        <v>195</v>
      </c>
      <c r="K114" s="4" t="s">
        <v>196</v>
      </c>
    </row>
    <row r="115" spans="1:11" ht="15.75" customHeight="1" x14ac:dyDescent="0.25">
      <c r="A115" s="4" t="s">
        <v>193</v>
      </c>
      <c r="B115" s="4" t="str">
        <f>CONCATENATE(Weekly!C120," @",Weekly!A120,"_",Weekly!B120)</f>
        <v>Wipe down Counters @SB_Kitchen</v>
      </c>
      <c r="C115" s="4" t="e">
        <f ca="1">CONCATENATE(Weekly!F120," / ",Weekly!G120)</f>
        <v>#NAME?</v>
      </c>
      <c r="E115" s="4">
        <v>1</v>
      </c>
      <c r="F115" s="4">
        <v>1</v>
      </c>
      <c r="G115" s="4" t="s">
        <v>194</v>
      </c>
      <c r="H115" s="4" t="str">
        <f>LOOKUP(Weekly!E120,Workers!A:A,Workers!B:B)</f>
        <v>Ryan (57174722)</v>
      </c>
      <c r="I115" s="4" t="e">
        <f ca="1">Weekly!M120</f>
        <v>#NAME?</v>
      </c>
      <c r="J115" s="4" t="s">
        <v>195</v>
      </c>
      <c r="K115" s="4" t="s">
        <v>196</v>
      </c>
    </row>
    <row r="116" spans="1:11" ht="15.75" customHeight="1" x14ac:dyDescent="0.25">
      <c r="A116" s="4" t="s">
        <v>193</v>
      </c>
      <c r="B116" s="4" t="str">
        <f>CONCATENATE(Weekly!C121," @",Weekly!A121,"_",Weekly!B121)</f>
        <v>Wipe down Sink @SB_Kitchen</v>
      </c>
      <c r="C116" s="4" t="e">
        <f ca="1">CONCATENATE(Weekly!F121," / ",Weekly!G121)</f>
        <v>#NAME?</v>
      </c>
      <c r="E116" s="4">
        <v>1</v>
      </c>
      <c r="F116" s="4">
        <v>1</v>
      </c>
      <c r="G116" s="4" t="s">
        <v>194</v>
      </c>
      <c r="H116" s="4" t="str">
        <f>LOOKUP(Weekly!E121,Workers!A:A,Workers!B:B)</f>
        <v>Ryan (57174722)</v>
      </c>
      <c r="I116" s="4" t="e">
        <f ca="1">Weekly!M121</f>
        <v>#NAME?</v>
      </c>
      <c r="J116" s="4" t="s">
        <v>195</v>
      </c>
      <c r="K116" s="4" t="s">
        <v>196</v>
      </c>
    </row>
    <row r="117" spans="1:11" ht="15.75" customHeight="1" x14ac:dyDescent="0.25">
      <c r="A117" s="4" t="s">
        <v>193</v>
      </c>
      <c r="B117" s="4" t="str">
        <f>CONCATENATE(Weekly!C122," @",Weekly!A122,"_",Weekly!B122)</f>
        <v>Empty Trash Large @SB_Lobby</v>
      </c>
      <c r="C117" s="4" t="e">
        <f ca="1">CONCATENATE(Weekly!F122," / ",Weekly!G122)</f>
        <v>#NAME?</v>
      </c>
      <c r="E117" s="4">
        <v>1</v>
      </c>
      <c r="F117" s="4">
        <v>1</v>
      </c>
      <c r="G117" s="4" t="s">
        <v>194</v>
      </c>
      <c r="H117" s="4" t="str">
        <f>LOOKUP(Weekly!E122,Workers!A:A,Workers!B:B)</f>
        <v>Ryan (57174722)</v>
      </c>
      <c r="I117" s="4" t="e">
        <f ca="1">Weekly!M122</f>
        <v>#NAME?</v>
      </c>
      <c r="J117" s="4" t="s">
        <v>195</v>
      </c>
      <c r="K117" s="4" t="s">
        <v>196</v>
      </c>
    </row>
    <row r="118" spans="1:11" ht="15.75" customHeight="1" x14ac:dyDescent="0.25">
      <c r="A118" s="4" t="s">
        <v>193</v>
      </c>
      <c r="B118" s="4" t="str">
        <f>CONCATENATE(Weekly!C123," @",Weekly!A123,"_",Weekly!B123)</f>
        <v>Spot Clean Door Glass @NB_Lobby</v>
      </c>
      <c r="C118" s="4" t="e">
        <f ca="1">CONCATENATE(Weekly!F123," / ",Weekly!G123)</f>
        <v>#NAME?</v>
      </c>
      <c r="E118" s="4">
        <v>1</v>
      </c>
      <c r="F118" s="4">
        <v>1</v>
      </c>
      <c r="G118" s="4" t="s">
        <v>194</v>
      </c>
      <c r="H118" s="4" t="str">
        <f>LOOKUP(Weekly!E123,Workers!A:A,Workers!B:B)</f>
        <v>Garrett (57173225)</v>
      </c>
      <c r="I118" s="4" t="e">
        <f ca="1">Weekly!M123</f>
        <v>#NAME?</v>
      </c>
      <c r="J118" s="4" t="s">
        <v>195</v>
      </c>
      <c r="K118" s="4" t="s">
        <v>196</v>
      </c>
    </row>
    <row r="119" spans="1:11" ht="15.75" customHeight="1" x14ac:dyDescent="0.25">
      <c r="A119" s="4" t="s">
        <v>193</v>
      </c>
      <c r="B119" s="4" t="str">
        <f>CONCATENATE(Weekly!C124," @",Weekly!A124,"_",Weekly!B124)</f>
        <v>Sweep Stairs @NB_Lobby</v>
      </c>
      <c r="C119" s="4" t="e">
        <f ca="1">CONCATENATE(Weekly!F124," / ",Weekly!G124)</f>
        <v>#NAME?</v>
      </c>
      <c r="E119" s="4">
        <v>1</v>
      </c>
      <c r="F119" s="4">
        <v>1</v>
      </c>
      <c r="G119" s="4" t="s">
        <v>194</v>
      </c>
      <c r="H119" s="4" t="str">
        <f>LOOKUP(Weekly!E124,Workers!A:A,Workers!B:B)</f>
        <v>Garrett (57173225)</v>
      </c>
      <c r="I119" s="4" t="e">
        <f ca="1">Weekly!M124</f>
        <v>#NAME?</v>
      </c>
      <c r="J119" s="4" t="s">
        <v>195</v>
      </c>
      <c r="K119" s="4" t="s">
        <v>196</v>
      </c>
    </row>
    <row r="120" spans="1:11" ht="15.75" customHeight="1" x14ac:dyDescent="0.25">
      <c r="A120" s="4" t="s">
        <v>193</v>
      </c>
      <c r="B120" s="4" t="str">
        <f>CONCATENATE(Weekly!C125," @",Weekly!A125,"_",Weekly!B125)</f>
        <v>Vacuum High Traffic @NB_Lobby</v>
      </c>
      <c r="C120" s="4" t="e">
        <f ca="1">CONCATENATE(Weekly!F125," / ",Weekly!G125)</f>
        <v>#NAME?</v>
      </c>
      <c r="E120" s="4">
        <v>1</v>
      </c>
      <c r="F120" s="4">
        <v>1</v>
      </c>
      <c r="G120" s="4" t="s">
        <v>194</v>
      </c>
      <c r="H120" s="4" t="str">
        <f>LOOKUP(Weekly!E125,Workers!A:A,Workers!B:B)</f>
        <v>Garrett (57173225)</v>
      </c>
      <c r="I120" s="4" t="e">
        <f ca="1">Weekly!M125</f>
        <v>#NAME?</v>
      </c>
      <c r="J120" s="4" t="s">
        <v>195</v>
      </c>
      <c r="K120" s="4" t="s">
        <v>196</v>
      </c>
    </row>
    <row r="121" spans="1:11" ht="15.75" customHeight="1" x14ac:dyDescent="0.25">
      <c r="A121" s="4" t="s">
        <v>193</v>
      </c>
      <c r="B121" s="4" t="str">
        <f>CONCATENATE(Weekly!C126," @",Weekly!A126,"_",Weekly!B126)</f>
        <v>Vacuum Light Traffic @SB_Lobby</v>
      </c>
      <c r="C121" s="4" t="e">
        <f ca="1">CONCATENATE(Weekly!F126," / ",Weekly!G126)</f>
        <v>#NAME?</v>
      </c>
      <c r="E121" s="4">
        <v>1</v>
      </c>
      <c r="F121" s="4">
        <v>1</v>
      </c>
      <c r="G121" s="4" t="s">
        <v>194</v>
      </c>
      <c r="H121" s="4" t="str">
        <f>LOOKUP(Weekly!E126,Workers!A:A,Workers!B:B)</f>
        <v>Ryan (57174722)</v>
      </c>
      <c r="I121" s="4" t="e">
        <f ca="1">Weekly!M126</f>
        <v>#NAME?</v>
      </c>
      <c r="J121" s="4" t="s">
        <v>195</v>
      </c>
      <c r="K121" s="4" t="s">
        <v>196</v>
      </c>
    </row>
    <row r="122" spans="1:11" ht="15.75" customHeight="1" x14ac:dyDescent="0.25">
      <c r="A122" s="4" t="s">
        <v>193</v>
      </c>
      <c r="B122" s="4" t="str">
        <f>CONCATENATE(Weekly!C127," @",Weekly!A127,"_",Weekly!B127)</f>
        <v>Wipe down Stair Rails @NB_Lobby</v>
      </c>
      <c r="C122" s="4" t="e">
        <f ca="1">CONCATENATE(Weekly!F127," / ",Weekly!G127)</f>
        <v>#NAME?</v>
      </c>
      <c r="E122" s="4">
        <v>1</v>
      </c>
      <c r="F122" s="4">
        <v>1</v>
      </c>
      <c r="G122" s="4" t="s">
        <v>194</v>
      </c>
      <c r="H122" s="4" t="str">
        <f>LOOKUP(Weekly!E127,Workers!A:A,Workers!B:B)</f>
        <v>Ryan (57174722)</v>
      </c>
      <c r="I122" s="4" t="e">
        <f ca="1">Weekly!M127</f>
        <v>#NAME?</v>
      </c>
      <c r="J122" s="4" t="s">
        <v>195</v>
      </c>
      <c r="K122" s="4" t="s">
        <v>196</v>
      </c>
    </row>
    <row r="123" spans="1:11" ht="15.75" customHeight="1" x14ac:dyDescent="0.25">
      <c r="A123" s="4" t="s">
        <v>193</v>
      </c>
      <c r="B123" s="4" t="str">
        <f>CONCATENATE(Weekly!C128," @",Weekly!A128,"_",Weekly!B128)</f>
        <v>Empty Diaper Genie @NB_Nursery</v>
      </c>
      <c r="C123" s="4" t="e">
        <f ca="1">CONCATENATE(Weekly!F128," / ",Weekly!G128)</f>
        <v>#NAME?</v>
      </c>
      <c r="E123" s="4">
        <v>1</v>
      </c>
      <c r="F123" s="4">
        <v>1</v>
      </c>
      <c r="G123" s="4" t="s">
        <v>194</v>
      </c>
      <c r="H123" s="4" t="str">
        <f>LOOKUP(Weekly!E128,Workers!A:A,Workers!B:B)</f>
        <v>Ryan (57174722)</v>
      </c>
      <c r="I123" s="4" t="e">
        <f ca="1">Weekly!M128</f>
        <v>#NAME?</v>
      </c>
      <c r="J123" s="4" t="s">
        <v>195</v>
      </c>
      <c r="K123" s="4" t="s">
        <v>196</v>
      </c>
    </row>
    <row r="124" spans="1:11" ht="15.75" customHeight="1" x14ac:dyDescent="0.25">
      <c r="A124" s="4" t="s">
        <v>193</v>
      </c>
      <c r="B124" s="4" t="str">
        <f>CONCATENATE(Weekly!C129," @",Weekly!A129,"_",Weekly!B129)</f>
        <v>Empty Trash Small @NB_Nursery</v>
      </c>
      <c r="C124" s="4" t="e">
        <f ca="1">CONCATENATE(Weekly!F129," / ",Weekly!G129)</f>
        <v>#NAME?</v>
      </c>
      <c r="E124" s="4">
        <v>1</v>
      </c>
      <c r="F124" s="4">
        <v>1</v>
      </c>
      <c r="G124" s="4" t="s">
        <v>194</v>
      </c>
      <c r="H124" s="4" t="str">
        <f>LOOKUP(Weekly!E129,Workers!A:A,Workers!B:B)</f>
        <v>Ryan (57174722)</v>
      </c>
      <c r="I124" s="4" t="e">
        <f ca="1">Weekly!M129</f>
        <v>#NAME?</v>
      </c>
      <c r="J124" s="4" t="s">
        <v>195</v>
      </c>
      <c r="K124" s="4" t="s">
        <v>196</v>
      </c>
    </row>
    <row r="125" spans="1:11" ht="15.75" customHeight="1" x14ac:dyDescent="0.25">
      <c r="A125" s="4" t="s">
        <v>193</v>
      </c>
      <c r="B125" s="4" t="e">
        <f>CONCATENATE(Weekly!#REF!," @",Weekly!#REF!,"_",Weekly!#REF!)</f>
        <v>#REF!</v>
      </c>
      <c r="C125" s="4" t="e">
        <f>CONCATENATE(Weekly!#REF!," / ",Weekly!#REF!)</f>
        <v>#REF!</v>
      </c>
      <c r="E125" s="4">
        <v>1</v>
      </c>
      <c r="F125" s="4">
        <v>1</v>
      </c>
      <c r="G125" s="4" t="s">
        <v>194</v>
      </c>
      <c r="H125" s="4" t="e">
        <f>LOOKUP(Weekly!#REF!,Workers!A:A,Workers!B:B)</f>
        <v>#REF!</v>
      </c>
      <c r="I125" s="4" t="e">
        <f>Weekly!#REF!</f>
        <v>#REF!</v>
      </c>
      <c r="J125" s="4" t="s">
        <v>195</v>
      </c>
      <c r="K125" s="4" t="s">
        <v>196</v>
      </c>
    </row>
    <row r="126" spans="1:11" ht="15.75" customHeight="1" x14ac:dyDescent="0.25">
      <c r="A126" s="4" t="s">
        <v>193</v>
      </c>
      <c r="B126" s="4" t="str">
        <f>CONCATENATE(Weekly!C130," @",Weekly!A130,"_",Weekly!B130)</f>
        <v>Wipe down Stair Rails @NB_Nursery</v>
      </c>
      <c r="C126" s="4" t="e">
        <f ca="1">CONCATENATE(Weekly!F130," / ",Weekly!G130)</f>
        <v>#NAME?</v>
      </c>
      <c r="E126" s="4">
        <v>1</v>
      </c>
      <c r="F126" s="4">
        <v>1</v>
      </c>
      <c r="G126" s="4" t="s">
        <v>194</v>
      </c>
      <c r="H126" s="4" t="str">
        <f>LOOKUP(Weekly!E130,Workers!A:A,Workers!B:B)</f>
        <v>Ryan (57174722)</v>
      </c>
      <c r="I126" s="4" t="e">
        <f ca="1">Weekly!M130</f>
        <v>#NAME?</v>
      </c>
      <c r="J126" s="4" t="s">
        <v>195</v>
      </c>
      <c r="K126" s="4" t="s">
        <v>196</v>
      </c>
    </row>
    <row r="127" spans="1:11" ht="15.75" customHeight="1" x14ac:dyDescent="0.25">
      <c r="A127" s="4" t="s">
        <v>193</v>
      </c>
      <c r="B127" s="4" t="str">
        <f>CONCATENATE(Weekly!C131," @",Weekly!A131,"_",Weekly!B131)</f>
        <v>Vacuum Light Traffic @NB_Nursery</v>
      </c>
      <c r="C127" s="4" t="e">
        <f ca="1">CONCATENATE(Weekly!F131," / ",Weekly!G131)</f>
        <v>#NAME?</v>
      </c>
      <c r="E127" s="4">
        <v>1</v>
      </c>
      <c r="F127" s="4">
        <v>1</v>
      </c>
      <c r="G127" s="4" t="s">
        <v>194</v>
      </c>
      <c r="H127" s="4" t="str">
        <f>LOOKUP(Weekly!E131,Workers!A:A,Workers!B:B)</f>
        <v>Ryan (57174722)</v>
      </c>
      <c r="I127" s="4" t="e">
        <f ca="1">Weekly!M131</f>
        <v>#NAME?</v>
      </c>
      <c r="J127" s="4" t="s">
        <v>195</v>
      </c>
      <c r="K127" s="4" t="s">
        <v>196</v>
      </c>
    </row>
    <row r="128" spans="1:11" ht="15.75" customHeight="1" x14ac:dyDescent="0.25">
      <c r="A128" s="4" t="s">
        <v>193</v>
      </c>
      <c r="B128" s="4" t="str">
        <f>CONCATENATE(Weekly!C132," @",Weekly!A132,"_",Weekly!B132)</f>
        <v>Wipe down Counters @NB_Nursery</v>
      </c>
      <c r="C128" s="4" t="e">
        <f ca="1">CONCATENATE(Weekly!F132," / ",Weekly!G132)</f>
        <v>#NAME?</v>
      </c>
      <c r="E128" s="4">
        <v>1</v>
      </c>
      <c r="F128" s="4">
        <v>1</v>
      </c>
      <c r="G128" s="4" t="s">
        <v>194</v>
      </c>
      <c r="H128" s="4" t="str">
        <f>LOOKUP(Weekly!E132,Workers!A:A,Workers!B:B)</f>
        <v>Ryan (57174722)</v>
      </c>
      <c r="I128" s="4" t="e">
        <f ca="1">Weekly!M132</f>
        <v>#NAME?</v>
      </c>
      <c r="J128" s="4" t="s">
        <v>195</v>
      </c>
      <c r="K128" s="4" t="s">
        <v>196</v>
      </c>
    </row>
    <row r="129" spans="1:11" ht="15.75" customHeight="1" x14ac:dyDescent="0.25">
      <c r="A129" s="4" t="s">
        <v>193</v>
      </c>
      <c r="B129" s="4" t="str">
        <f>CONCATENATE(Weekly!C133," @",Weekly!A133,"_",Weekly!B133)</f>
        <v>Empty Trash Small @NB_Office Downstairs</v>
      </c>
      <c r="C129" s="4" t="e">
        <f ca="1">CONCATENATE(Weekly!F133," / ",Weekly!G133)</f>
        <v>#NAME?</v>
      </c>
      <c r="E129" s="4">
        <v>1</v>
      </c>
      <c r="F129" s="4">
        <v>1</v>
      </c>
      <c r="G129" s="4" t="s">
        <v>194</v>
      </c>
      <c r="H129" s="4" t="str">
        <f>LOOKUP(Weekly!E133,Workers!A:A,Workers!B:B)</f>
        <v>Garrett (57173225)</v>
      </c>
      <c r="I129" s="4" t="e">
        <f ca="1">Weekly!M133</f>
        <v>#NAME?</v>
      </c>
      <c r="J129" s="4" t="s">
        <v>195</v>
      </c>
      <c r="K129" s="4" t="s">
        <v>196</v>
      </c>
    </row>
    <row r="130" spans="1:11" ht="15.75" customHeight="1" x14ac:dyDescent="0.25">
      <c r="A130" s="4" t="s">
        <v>193</v>
      </c>
      <c r="B130" s="4" t="str">
        <f>CONCATENATE(Weekly!C134," @",Weekly!A134,"_",Weekly!B134)</f>
        <v>Vacuum Light Traffic @NB_Office Downstairs</v>
      </c>
      <c r="C130" s="4" t="e">
        <f ca="1">CONCATENATE(Weekly!F134," / ",Weekly!G134)</f>
        <v>#NAME?</v>
      </c>
      <c r="E130" s="4">
        <v>1</v>
      </c>
      <c r="F130" s="4">
        <v>1</v>
      </c>
      <c r="G130" s="4" t="s">
        <v>194</v>
      </c>
      <c r="H130" s="4" t="str">
        <f>LOOKUP(Weekly!E134,Workers!A:A,Workers!B:B)</f>
        <v>Garrett (57173225)</v>
      </c>
      <c r="I130" s="4" t="e">
        <f ca="1">Weekly!M134</f>
        <v>#NAME?</v>
      </c>
      <c r="J130" s="4" t="s">
        <v>195</v>
      </c>
      <c r="K130" s="4" t="s">
        <v>196</v>
      </c>
    </row>
    <row r="131" spans="1:11" ht="15.75" customHeight="1" x14ac:dyDescent="0.25">
      <c r="A131" s="4" t="s">
        <v>193</v>
      </c>
      <c r="B131" s="4" t="str">
        <f>CONCATENATE(Weekly!C135," @",Weekly!A135,"_",Weekly!B135)</f>
        <v>Empty Trash Small @NB_Office Upstairs</v>
      </c>
      <c r="C131" s="4" t="e">
        <f ca="1">CONCATENATE(Weekly!F135," / ",Weekly!G135)</f>
        <v>#NAME?</v>
      </c>
      <c r="E131" s="4">
        <v>1</v>
      </c>
      <c r="F131" s="4">
        <v>1</v>
      </c>
      <c r="G131" s="4" t="s">
        <v>194</v>
      </c>
      <c r="H131" s="4" t="str">
        <f>LOOKUP(Weekly!E135,Workers!A:A,Workers!B:B)</f>
        <v>Garrett (57173225)</v>
      </c>
      <c r="I131" s="4" t="e">
        <f ca="1">Weekly!M135</f>
        <v>#NAME?</v>
      </c>
      <c r="J131" s="4" t="s">
        <v>195</v>
      </c>
      <c r="K131" s="4" t="s">
        <v>196</v>
      </c>
    </row>
    <row r="132" spans="1:11" ht="15.75" customHeight="1" x14ac:dyDescent="0.25">
      <c r="A132" s="4" t="s">
        <v>193</v>
      </c>
      <c r="B132" s="4" t="str">
        <f>CONCATENATE(Weekly!C136," @",Weekly!A136,"_",Weekly!B136)</f>
        <v>Vacuum Light Traffic @NB_Office Upstairs</v>
      </c>
      <c r="C132" s="4" t="e">
        <f ca="1">CONCATENATE(Weekly!F136," / ",Weekly!G136)</f>
        <v>#NAME?</v>
      </c>
      <c r="E132" s="4">
        <v>1</v>
      </c>
      <c r="F132" s="4">
        <v>1</v>
      </c>
      <c r="G132" s="4" t="s">
        <v>194</v>
      </c>
      <c r="H132" s="4" t="str">
        <f>LOOKUP(Weekly!E136,Workers!A:A,Workers!B:B)</f>
        <v>Garrett (57173225)</v>
      </c>
      <c r="I132" s="4" t="e">
        <f ca="1">Weekly!M136</f>
        <v>#NAME?</v>
      </c>
      <c r="J132" s="4" t="s">
        <v>195</v>
      </c>
      <c r="K132" s="4" t="s">
        <v>196</v>
      </c>
    </row>
    <row r="133" spans="1:11" ht="15.75" customHeight="1" x14ac:dyDescent="0.25">
      <c r="A133" s="4" t="s">
        <v>193</v>
      </c>
      <c r="B133" s="4" t="str">
        <f>CONCATENATE(Weekly!C137," @",Weekly!A137,"_",Weekly!B137)</f>
        <v>Empty Trash Small @NB_Prayer Rooms</v>
      </c>
      <c r="C133" s="4" t="e">
        <f ca="1">CONCATENATE(Weekly!F137," / ",Weekly!G137)</f>
        <v>#NAME?</v>
      </c>
      <c r="E133" s="4">
        <v>1</v>
      </c>
      <c r="F133" s="4">
        <v>1</v>
      </c>
      <c r="G133" s="4" t="s">
        <v>194</v>
      </c>
      <c r="H133" s="4" t="str">
        <f>LOOKUP(Weekly!E137,Workers!A:A,Workers!B:B)</f>
        <v>Ryan (57174722)</v>
      </c>
      <c r="I133" s="4" t="e">
        <f ca="1">Weekly!M137</f>
        <v>#NAME?</v>
      </c>
      <c r="J133" s="4" t="s">
        <v>195</v>
      </c>
      <c r="K133" s="4" t="s">
        <v>196</v>
      </c>
    </row>
    <row r="134" spans="1:11" ht="15.75" customHeight="1" x14ac:dyDescent="0.25">
      <c r="A134" s="4" t="s">
        <v>193</v>
      </c>
      <c r="B134" s="4" t="str">
        <f>CONCATENATE(Weekly!C138," @",Weekly!A138,"_",Weekly!B138)</f>
        <v>Vacuum Light Traffic @NB_Prayer Rooms</v>
      </c>
      <c r="C134" s="4" t="e">
        <f ca="1">CONCATENATE(Weekly!F138," / ",Weekly!G138)</f>
        <v>#NAME?</v>
      </c>
      <c r="E134" s="4">
        <v>1</v>
      </c>
      <c r="F134" s="4">
        <v>1</v>
      </c>
      <c r="G134" s="4" t="s">
        <v>194</v>
      </c>
      <c r="H134" s="4" t="str">
        <f>LOOKUP(Weekly!E138,Workers!A:A,Workers!B:B)</f>
        <v>Ryan (57174722)</v>
      </c>
      <c r="I134" s="4" t="e">
        <f ca="1">Weekly!M138</f>
        <v>#NAME?</v>
      </c>
      <c r="J134" s="4" t="s">
        <v>195</v>
      </c>
      <c r="K134" s="4" t="s">
        <v>196</v>
      </c>
    </row>
    <row r="135" spans="1:11" ht="15.75" customHeight="1" x14ac:dyDescent="0.25">
      <c r="A135" s="4" t="s">
        <v>193</v>
      </c>
      <c r="B135" s="4" t="str">
        <f>CONCATENATE(Weekly!C139," @",Weekly!A139,"_",Weekly!B139)</f>
        <v>Wipe down Tables @NB_Prayer Rooms</v>
      </c>
      <c r="C135" s="4" t="e">
        <f ca="1">CONCATENATE(Weekly!F139," / ",Weekly!G139)</f>
        <v>#NAME?</v>
      </c>
      <c r="E135" s="4">
        <v>1</v>
      </c>
      <c r="F135" s="4">
        <v>1</v>
      </c>
      <c r="G135" s="4" t="s">
        <v>194</v>
      </c>
      <c r="H135" s="4" t="str">
        <f>LOOKUP(Weekly!E139,Workers!A:A,Workers!B:B)</f>
        <v>Ryan (57174722)</v>
      </c>
      <c r="I135" s="4" t="e">
        <f ca="1">Weekly!M139</f>
        <v>#NAME?</v>
      </c>
      <c r="J135" s="4" t="s">
        <v>195</v>
      </c>
      <c r="K135" s="4" t="s">
        <v>196</v>
      </c>
    </row>
    <row r="136" spans="1:11" ht="15.75" customHeight="1" x14ac:dyDescent="0.25">
      <c r="A136" s="4" t="s">
        <v>193</v>
      </c>
      <c r="B136" s="4" t="str">
        <f>CONCATENATE(Weekly!C140," @",Weekly!A140,"_",Weekly!B140)</f>
        <v>Empty Trash Small @NB_Preschool East</v>
      </c>
      <c r="C136" s="4" t="e">
        <f ca="1">CONCATENATE(Weekly!F140," / ",Weekly!G140)</f>
        <v>#NAME?</v>
      </c>
      <c r="E136" s="4">
        <v>1</v>
      </c>
      <c r="F136" s="4">
        <v>1</v>
      </c>
      <c r="G136" s="4" t="s">
        <v>194</v>
      </c>
      <c r="H136" s="4" t="str">
        <f>LOOKUP(Weekly!E140,Workers!A:A,Workers!B:B)</f>
        <v>Ryan (57174722)</v>
      </c>
      <c r="I136" s="4" t="e">
        <f ca="1">Weekly!M140</f>
        <v>#NAME?</v>
      </c>
      <c r="J136" s="4" t="s">
        <v>195</v>
      </c>
      <c r="K136" s="4" t="s">
        <v>196</v>
      </c>
    </row>
    <row r="137" spans="1:11" ht="15.75" customHeight="1" x14ac:dyDescent="0.25">
      <c r="A137" s="4" t="s">
        <v>193</v>
      </c>
      <c r="B137" s="4" t="str">
        <f>CONCATENATE(Weekly!C141," @",Weekly!A141,"_",Weekly!B141)</f>
        <v>Vacuum Light Traffic @NB_Preschool East</v>
      </c>
      <c r="C137" s="4" t="e">
        <f ca="1">CONCATENATE(Weekly!F141," / ",Weekly!G141)</f>
        <v>#NAME?</v>
      </c>
      <c r="E137" s="4">
        <v>1</v>
      </c>
      <c r="F137" s="4">
        <v>1</v>
      </c>
      <c r="G137" s="4" t="s">
        <v>194</v>
      </c>
      <c r="H137" s="4" t="str">
        <f>LOOKUP(Weekly!E141,Workers!A:A,Workers!B:B)</f>
        <v>Ryan (57174722)</v>
      </c>
      <c r="I137" s="4" t="e">
        <f ca="1">Weekly!M141</f>
        <v>#NAME?</v>
      </c>
      <c r="J137" s="4" t="s">
        <v>195</v>
      </c>
      <c r="K137" s="4" t="s">
        <v>196</v>
      </c>
    </row>
    <row r="138" spans="1:11" ht="15.75" customHeight="1" x14ac:dyDescent="0.25">
      <c r="A138" s="4" t="s">
        <v>193</v>
      </c>
      <c r="B138" s="4" t="str">
        <f>CONCATENATE(Weekly!C142," @",Weekly!A142,"_",Weekly!B142)</f>
        <v>Wipe down Counters @NB_Preschool East</v>
      </c>
      <c r="C138" s="4" t="e">
        <f ca="1">CONCATENATE(Weekly!F142," / ",Weekly!G142)</f>
        <v>#NAME?</v>
      </c>
      <c r="E138" s="4">
        <v>1</v>
      </c>
      <c r="F138" s="4">
        <v>1</v>
      </c>
      <c r="G138" s="4" t="s">
        <v>194</v>
      </c>
      <c r="H138" s="4" t="str">
        <f>LOOKUP(Weekly!E142,Workers!A:A,Workers!B:B)</f>
        <v>Ryan (57174722)</v>
      </c>
      <c r="I138" s="4" t="e">
        <f ca="1">Weekly!M142</f>
        <v>#NAME?</v>
      </c>
      <c r="J138" s="4" t="s">
        <v>195</v>
      </c>
      <c r="K138" s="4" t="s">
        <v>196</v>
      </c>
    </row>
    <row r="139" spans="1:11" ht="15.75" customHeight="1" x14ac:dyDescent="0.25">
      <c r="A139" s="4" t="s">
        <v>193</v>
      </c>
      <c r="B139" s="4" t="str">
        <f>CONCATENATE(Weekly!C143," @",Weekly!A143,"_",Weekly!B143)</f>
        <v>Empty Trash Small @NB_Preschool West</v>
      </c>
      <c r="C139" s="4" t="e">
        <f ca="1">CONCATENATE(Weekly!F143," / ",Weekly!G143)</f>
        <v>#NAME?</v>
      </c>
      <c r="E139" s="4">
        <v>1</v>
      </c>
      <c r="F139" s="4">
        <v>1</v>
      </c>
      <c r="G139" s="4" t="s">
        <v>194</v>
      </c>
      <c r="H139" s="4" t="str">
        <f>LOOKUP(Weekly!E143,Workers!A:A,Workers!B:B)</f>
        <v>Ryan (57174722)</v>
      </c>
      <c r="I139" s="4" t="e">
        <f ca="1">Weekly!M143</f>
        <v>#NAME?</v>
      </c>
      <c r="J139" s="4" t="s">
        <v>195</v>
      </c>
      <c r="K139" s="4" t="s">
        <v>196</v>
      </c>
    </row>
    <row r="140" spans="1:11" ht="15.75" customHeight="1" x14ac:dyDescent="0.25">
      <c r="A140" s="4" t="s">
        <v>193</v>
      </c>
      <c r="B140" s="4" t="str">
        <f>CONCATENATE(Weekly!C144," @",Weekly!A144,"_",Weekly!B144)</f>
        <v>Vacuum Light Traffic @NB_Preschool West</v>
      </c>
      <c r="C140" s="4" t="e">
        <f ca="1">CONCATENATE(Weekly!F144," / ",Weekly!G144)</f>
        <v>#NAME?</v>
      </c>
      <c r="E140" s="4">
        <v>1</v>
      </c>
      <c r="F140" s="4">
        <v>1</v>
      </c>
      <c r="G140" s="4" t="s">
        <v>194</v>
      </c>
      <c r="H140" s="4" t="str">
        <f>LOOKUP(Weekly!E144,Workers!A:A,Workers!B:B)</f>
        <v>Ryan (57174722)</v>
      </c>
      <c r="I140" s="4" t="e">
        <f ca="1">Weekly!M144</f>
        <v>#NAME?</v>
      </c>
      <c r="J140" s="4" t="s">
        <v>195</v>
      </c>
      <c r="K140" s="4" t="s">
        <v>196</v>
      </c>
    </row>
    <row r="141" spans="1:11" ht="15.75" customHeight="1" x14ac:dyDescent="0.25">
      <c r="A141" s="4" t="s">
        <v>193</v>
      </c>
      <c r="B141" s="4" t="str">
        <f>CONCATENATE(Weekly!C145," @",Weekly!A145,"_",Weekly!B145)</f>
        <v>Wipe down Counters @NB_Preschool West</v>
      </c>
      <c r="C141" s="4" t="e">
        <f ca="1">CONCATENATE(Weekly!F145," / ",Weekly!G145)</f>
        <v>#NAME?</v>
      </c>
      <c r="E141" s="4">
        <v>1</v>
      </c>
      <c r="F141" s="4">
        <v>1</v>
      </c>
      <c r="G141" s="4" t="s">
        <v>194</v>
      </c>
      <c r="H141" s="4" t="str">
        <f>LOOKUP(Weekly!E145,Workers!A:A,Workers!B:B)</f>
        <v>Ryan (57174722)</v>
      </c>
      <c r="I141" s="4" t="e">
        <f ca="1">Weekly!M145</f>
        <v>#NAME?</v>
      </c>
      <c r="J141" s="4" t="s">
        <v>195</v>
      </c>
      <c r="K141" s="4" t="s">
        <v>196</v>
      </c>
    </row>
    <row r="142" spans="1:11" ht="15.75" customHeight="1" x14ac:dyDescent="0.25">
      <c r="A142" s="4" t="s">
        <v>193</v>
      </c>
      <c r="B142" s="4" t="str">
        <f>CONCATENATE(Weekly!C146," @",Weekly!A146,"_",Weekly!B146)</f>
        <v>Empty Trash Small @NB_Preschool Checkin</v>
      </c>
      <c r="C142" s="4" t="e">
        <f ca="1">CONCATENATE(Weekly!F146," / ",Weekly!G146)</f>
        <v>#NAME?</v>
      </c>
      <c r="E142" s="4">
        <v>1</v>
      </c>
      <c r="F142" s="4">
        <v>1</v>
      </c>
      <c r="G142" s="4" t="s">
        <v>194</v>
      </c>
      <c r="H142" s="4" t="str">
        <f>LOOKUP(Weekly!E146,Workers!A:A,Workers!B:B)</f>
        <v>Ryan (57174722)</v>
      </c>
      <c r="I142" s="4" t="e">
        <f ca="1">Weekly!M146</f>
        <v>#NAME?</v>
      </c>
      <c r="J142" s="4" t="s">
        <v>195</v>
      </c>
      <c r="K142" s="4" t="s">
        <v>196</v>
      </c>
    </row>
    <row r="143" spans="1:11" ht="15.75" customHeight="1" x14ac:dyDescent="0.25">
      <c r="A143" s="4" t="s">
        <v>193</v>
      </c>
      <c r="B143" s="4" t="str">
        <f>CONCATENATE(Weekly!C147," @",Weekly!A147,"_",Weekly!B147)</f>
        <v>Vacuum Light Traffic @NB_Preschool Checkin</v>
      </c>
      <c r="C143" s="4" t="e">
        <f ca="1">CONCATENATE(Weekly!F147," / ",Weekly!G147)</f>
        <v>#NAME?</v>
      </c>
      <c r="E143" s="4">
        <v>1</v>
      </c>
      <c r="F143" s="4">
        <v>1</v>
      </c>
      <c r="G143" s="4" t="s">
        <v>194</v>
      </c>
      <c r="H143" s="4" t="str">
        <f>LOOKUP(Weekly!E147,Workers!A:A,Workers!B:B)</f>
        <v>Ryan (57174722)</v>
      </c>
      <c r="I143" s="4" t="e">
        <f ca="1">Weekly!M147</f>
        <v>#NAME?</v>
      </c>
      <c r="J143" s="4" t="s">
        <v>195</v>
      </c>
      <c r="K143" s="4" t="s">
        <v>196</v>
      </c>
    </row>
    <row r="144" spans="1:11" ht="15.75" customHeight="1" x14ac:dyDescent="0.25">
      <c r="A144" s="4" t="s">
        <v>193</v>
      </c>
      <c r="B144" s="4" t="str">
        <f>CONCATENATE(Weekly!C148," @",Weekly!A148,"_",Weekly!B148)</f>
        <v>Wipe down Counters @NB_Preschool Checkin</v>
      </c>
      <c r="C144" s="4" t="e">
        <f ca="1">CONCATENATE(Weekly!F148," / ",Weekly!G148)</f>
        <v>#NAME?</v>
      </c>
      <c r="E144" s="4">
        <v>1</v>
      </c>
      <c r="F144" s="4">
        <v>1</v>
      </c>
      <c r="G144" s="4" t="s">
        <v>194</v>
      </c>
      <c r="H144" s="4" t="str">
        <f>LOOKUP(Weekly!E148,Workers!A:A,Workers!B:B)</f>
        <v>Ryan (57174722)</v>
      </c>
      <c r="I144" s="4" t="e">
        <f ca="1">Weekly!M148</f>
        <v>#NAME?</v>
      </c>
      <c r="J144" s="4" t="s">
        <v>195</v>
      </c>
      <c r="K144" s="4" t="s">
        <v>196</v>
      </c>
    </row>
    <row r="145" spans="1:11" ht="15.75" customHeight="1" x14ac:dyDescent="0.25">
      <c r="A145" s="4" t="s">
        <v>193</v>
      </c>
      <c r="B145" s="4" t="str">
        <f>CONCATENATE(Weekly!C149," @",Weekly!A149,"_",Weekly!B149)</f>
        <v>Vacuum Light Traffic @NB_Preschool Main</v>
      </c>
      <c r="C145" s="4" t="e">
        <f ca="1">CONCATENATE(Weekly!F149," / ",Weekly!G149)</f>
        <v>#NAME?</v>
      </c>
      <c r="E145" s="4">
        <v>1</v>
      </c>
      <c r="F145" s="4">
        <v>1</v>
      </c>
      <c r="G145" s="4" t="s">
        <v>194</v>
      </c>
      <c r="H145" s="4" t="str">
        <f>LOOKUP(Weekly!E149,Workers!A:A,Workers!B:B)</f>
        <v>Ryan (57174722)</v>
      </c>
      <c r="I145" s="4" t="e">
        <f ca="1">Weekly!M149</f>
        <v>#NAME?</v>
      </c>
      <c r="J145" s="4" t="s">
        <v>195</v>
      </c>
      <c r="K145" s="4" t="s">
        <v>196</v>
      </c>
    </row>
    <row r="146" spans="1:11" ht="15.75" customHeight="1" x14ac:dyDescent="0.25">
      <c r="A146" s="4" t="s">
        <v>193</v>
      </c>
      <c r="B146" s="4" t="str">
        <f>CONCATENATE(Weekly!C150," @",Weekly!A150,"_",Weekly!B150)</f>
        <v>Empty Trash Bathroom @NB_Men's North</v>
      </c>
      <c r="C146" s="4" t="e">
        <f ca="1">CONCATENATE(Weekly!F150," / ",Weekly!G150)</f>
        <v>#NAME?</v>
      </c>
      <c r="E146" s="4">
        <v>1</v>
      </c>
      <c r="F146" s="4">
        <v>1</v>
      </c>
      <c r="G146" s="4" t="s">
        <v>194</v>
      </c>
      <c r="H146" s="4" t="str">
        <f>LOOKUP(Weekly!E150,Workers!A:A,Workers!B:B)</f>
        <v>Ryan (57174722)</v>
      </c>
      <c r="I146" s="4" t="e">
        <f ca="1">Weekly!M150</f>
        <v>#NAME?</v>
      </c>
      <c r="J146" s="4" t="s">
        <v>195</v>
      </c>
      <c r="K146" s="4" t="s">
        <v>196</v>
      </c>
    </row>
    <row r="147" spans="1:11" ht="15.75" customHeight="1" x14ac:dyDescent="0.25">
      <c r="A147" s="4" t="s">
        <v>193</v>
      </c>
      <c r="B147" s="4" t="str">
        <f>CONCATENATE(Weekly!C151," @",Weekly!A151,"_",Weekly!B151)</f>
        <v>Mop @NB_Men's North</v>
      </c>
      <c r="C147" s="4" t="e">
        <f ca="1">CONCATENATE(Weekly!F151," / ",Weekly!G151)</f>
        <v>#NAME?</v>
      </c>
      <c r="E147" s="4">
        <v>1</v>
      </c>
      <c r="F147" s="4">
        <v>1</v>
      </c>
      <c r="G147" s="4" t="s">
        <v>194</v>
      </c>
      <c r="H147" s="4" t="str">
        <f>LOOKUP(Weekly!E151,Workers!A:A,Workers!B:B)</f>
        <v>Ryan (57174722)</v>
      </c>
      <c r="I147" s="4" t="e">
        <f ca="1">Weekly!M151</f>
        <v>#NAME?</v>
      </c>
      <c r="J147" s="4" t="s">
        <v>195</v>
      </c>
      <c r="K147" s="4" t="s">
        <v>196</v>
      </c>
    </row>
    <row r="148" spans="1:11" ht="15.75" customHeight="1" x14ac:dyDescent="0.25">
      <c r="A148" s="4" t="s">
        <v>193</v>
      </c>
      <c r="B148" s="4" t="str">
        <f>CONCATENATE(Weekly!C152," @",Weekly!A152,"_",Weekly!B152)</f>
        <v>Scrub Sinks @NB_Men's North</v>
      </c>
      <c r="C148" s="4" t="e">
        <f ca="1">CONCATENATE(Weekly!F152," / ",Weekly!G152)</f>
        <v>#NAME?</v>
      </c>
      <c r="E148" s="4">
        <v>1</v>
      </c>
      <c r="F148" s="4">
        <v>1</v>
      </c>
      <c r="G148" s="4" t="s">
        <v>194</v>
      </c>
      <c r="H148" s="4" t="str">
        <f>LOOKUP(Weekly!E152,Workers!A:A,Workers!B:B)</f>
        <v>Ryan (57174722)</v>
      </c>
      <c r="I148" s="4" t="e">
        <f ca="1">Weekly!M152</f>
        <v>#NAME?</v>
      </c>
      <c r="J148" s="4" t="s">
        <v>195</v>
      </c>
      <c r="K148" s="4" t="s">
        <v>196</v>
      </c>
    </row>
    <row r="149" spans="1:11" ht="15.75" customHeight="1" x14ac:dyDescent="0.25">
      <c r="A149" s="4" t="s">
        <v>193</v>
      </c>
      <c r="B149" s="4" t="str">
        <f>CONCATENATE(Weekly!C153," @",Weekly!A153,"_",Weekly!B153)</f>
        <v>Scrub Toilets @NB_Men's North</v>
      </c>
      <c r="C149" s="4" t="e">
        <f ca="1">CONCATENATE(Weekly!F153," / ",Weekly!G153)</f>
        <v>#NAME?</v>
      </c>
      <c r="E149" s="4">
        <v>1</v>
      </c>
      <c r="F149" s="4">
        <v>1</v>
      </c>
      <c r="G149" s="4" t="s">
        <v>194</v>
      </c>
      <c r="H149" s="4" t="str">
        <f>LOOKUP(Weekly!E153,Workers!A:A,Workers!B:B)</f>
        <v>Ryan (57174722)</v>
      </c>
      <c r="I149" s="4" t="e">
        <f ca="1">Weekly!M153</f>
        <v>#NAME?</v>
      </c>
      <c r="J149" s="4" t="s">
        <v>195</v>
      </c>
      <c r="K149" s="4" t="s">
        <v>196</v>
      </c>
    </row>
    <row r="150" spans="1:11" ht="15.75" customHeight="1" x14ac:dyDescent="0.25">
      <c r="A150" s="4" t="s">
        <v>193</v>
      </c>
      <c r="B150" s="4" t="str">
        <f>CONCATENATE(Weekly!C154," @",Weekly!A154,"_",Weekly!B154)</f>
        <v>Scrub Urinals @NB_Men's North</v>
      </c>
      <c r="C150" s="4" t="e">
        <f ca="1">CONCATENATE(Weekly!F154," / ",Weekly!G154)</f>
        <v>#NAME?</v>
      </c>
      <c r="E150" s="4">
        <v>1</v>
      </c>
      <c r="F150" s="4">
        <v>1</v>
      </c>
      <c r="G150" s="4" t="s">
        <v>194</v>
      </c>
      <c r="H150" s="4" t="str">
        <f>LOOKUP(Weekly!E154,Workers!A:A,Workers!B:B)</f>
        <v>Ryan (57174722)</v>
      </c>
      <c r="I150" s="4" t="e">
        <f ca="1">Weekly!M154</f>
        <v>#NAME?</v>
      </c>
      <c r="J150" s="4" t="s">
        <v>195</v>
      </c>
      <c r="K150" s="4" t="s">
        <v>196</v>
      </c>
    </row>
    <row r="151" spans="1:11" ht="15.75" customHeight="1" x14ac:dyDescent="0.25">
      <c r="A151" s="4" t="s">
        <v>193</v>
      </c>
      <c r="B151" s="4" t="str">
        <f>CONCATENATE(Weekly!C155," @",Weekly!A155,"_",Weekly!B155)</f>
        <v>Spot Clean Mirrors @NB_Men's North</v>
      </c>
      <c r="C151" s="4" t="e">
        <f ca="1">CONCATENATE(Weekly!F155," / ",Weekly!G155)</f>
        <v>#NAME?</v>
      </c>
      <c r="E151" s="4">
        <v>1</v>
      </c>
      <c r="F151" s="4">
        <v>1</v>
      </c>
      <c r="G151" s="4" t="s">
        <v>194</v>
      </c>
      <c r="H151" s="4" t="str">
        <f>LOOKUP(Weekly!E155,Workers!A:A,Workers!B:B)</f>
        <v>Ryan (57174722)</v>
      </c>
      <c r="I151" s="4" t="e">
        <f ca="1">Weekly!M155</f>
        <v>#NAME?</v>
      </c>
      <c r="J151" s="4" t="s">
        <v>195</v>
      </c>
      <c r="K151" s="4" t="s">
        <v>196</v>
      </c>
    </row>
    <row r="152" spans="1:11" ht="15.75" customHeight="1" x14ac:dyDescent="0.25">
      <c r="A152" s="4" t="s">
        <v>193</v>
      </c>
      <c r="B152" s="4" t="str">
        <f>CONCATENATE(Weekly!C156," @",Weekly!A156,"_",Weekly!B156)</f>
        <v>Stock Bathroom Supplies @NB_Men's North</v>
      </c>
      <c r="C152" s="4" t="e">
        <f ca="1">CONCATENATE(Weekly!F156," / ",Weekly!G156)</f>
        <v>#NAME?</v>
      </c>
      <c r="E152" s="4">
        <v>1</v>
      </c>
      <c r="F152" s="4">
        <v>1</v>
      </c>
      <c r="G152" s="4" t="s">
        <v>194</v>
      </c>
      <c r="H152" s="4" t="str">
        <f>LOOKUP(Weekly!E156,Workers!A:A,Workers!B:B)</f>
        <v>Ryan (57174722)</v>
      </c>
      <c r="I152" s="4" t="e">
        <f ca="1">Weekly!M156</f>
        <v>#NAME?</v>
      </c>
      <c r="J152" s="4" t="s">
        <v>195</v>
      </c>
      <c r="K152" s="4" t="s">
        <v>196</v>
      </c>
    </row>
    <row r="153" spans="1:11" ht="15.75" customHeight="1" x14ac:dyDescent="0.25">
      <c r="A153" s="4" t="s">
        <v>193</v>
      </c>
      <c r="B153" s="4" t="str">
        <f>CONCATENATE(Weekly!C157," @",Weekly!A157,"_",Weekly!B157)</f>
        <v>Sweep @NB_Men's North</v>
      </c>
      <c r="C153" s="4" t="e">
        <f ca="1">CONCATENATE(Weekly!F157," / ",Weekly!G157)</f>
        <v>#NAME?</v>
      </c>
      <c r="E153" s="4">
        <v>1</v>
      </c>
      <c r="F153" s="4">
        <v>1</v>
      </c>
      <c r="G153" s="4" t="s">
        <v>194</v>
      </c>
      <c r="H153" s="4" t="str">
        <f>LOOKUP(Weekly!E157,Workers!A:A,Workers!B:B)</f>
        <v>Ryan (57174722)</v>
      </c>
      <c r="I153" s="4" t="e">
        <f ca="1">Weekly!M157</f>
        <v>#NAME?</v>
      </c>
      <c r="J153" s="4" t="s">
        <v>195</v>
      </c>
      <c r="K153" s="4" t="s">
        <v>196</v>
      </c>
    </row>
    <row r="154" spans="1:11" ht="15.75" customHeight="1" x14ac:dyDescent="0.25">
      <c r="A154" s="4" t="s">
        <v>193</v>
      </c>
      <c r="B154" s="4" t="str">
        <f>CONCATENATE(Weekly!C158," @",Weekly!A158,"_",Weekly!B158)</f>
        <v>Wipe down Counters @NB_Men's North</v>
      </c>
      <c r="C154" s="4" t="e">
        <f ca="1">CONCATENATE(Weekly!F158," / ",Weekly!G158)</f>
        <v>#NAME?</v>
      </c>
      <c r="E154" s="4">
        <v>1</v>
      </c>
      <c r="F154" s="4">
        <v>1</v>
      </c>
      <c r="G154" s="4" t="s">
        <v>194</v>
      </c>
      <c r="H154" s="4" t="str">
        <f>LOOKUP(Weekly!E158,Workers!A:A,Workers!B:B)</f>
        <v>Ryan (57174722)</v>
      </c>
      <c r="I154" s="4" t="e">
        <f ca="1">Weekly!M158</f>
        <v>#NAME?</v>
      </c>
      <c r="J154" s="4" t="s">
        <v>195</v>
      </c>
      <c r="K154" s="4" t="s">
        <v>196</v>
      </c>
    </row>
    <row r="155" spans="1:11" ht="15.75" customHeight="1" x14ac:dyDescent="0.25">
      <c r="A155" s="4" t="s">
        <v>193</v>
      </c>
      <c r="B155" s="4" t="str">
        <f>CONCATENATE(Weekly!C159," @",Weekly!A159,"_",Weekly!B159)</f>
        <v>Wipe down Sink @NB_Men's North</v>
      </c>
      <c r="C155" s="4" t="e">
        <f ca="1">CONCATENATE(Weekly!F159," / ",Weekly!G159)</f>
        <v>#NAME?</v>
      </c>
      <c r="E155" s="4">
        <v>1</v>
      </c>
      <c r="F155" s="4">
        <v>1</v>
      </c>
      <c r="G155" s="4" t="s">
        <v>194</v>
      </c>
      <c r="H155" s="4" t="str">
        <f>LOOKUP(Weekly!E159,Workers!A:A,Workers!B:B)</f>
        <v>Ryan (57174722)</v>
      </c>
      <c r="I155" s="4" t="e">
        <f ca="1">Weekly!M159</f>
        <v>#NAME?</v>
      </c>
      <c r="J155" s="4" t="s">
        <v>195</v>
      </c>
      <c r="K155" s="4" t="s">
        <v>196</v>
      </c>
    </row>
    <row r="156" spans="1:11" ht="15.75" customHeight="1" x14ac:dyDescent="0.25">
      <c r="A156" s="4" t="s">
        <v>193</v>
      </c>
      <c r="B156" s="4" t="str">
        <f>CONCATENATE(Weekly!C160," @",Weekly!A160,"_",Weekly!B160)</f>
        <v>Wipe down Toilets @NB_Men's North</v>
      </c>
      <c r="C156" s="4" t="e">
        <f ca="1">CONCATENATE(Weekly!F160," / ",Weekly!G160)</f>
        <v>#NAME?</v>
      </c>
      <c r="E156" s="4">
        <v>1</v>
      </c>
      <c r="F156" s="4">
        <v>1</v>
      </c>
      <c r="G156" s="4" t="s">
        <v>194</v>
      </c>
      <c r="H156" s="4" t="str">
        <f>LOOKUP(Weekly!E160,Workers!A:A,Workers!B:B)</f>
        <v>Ryan (57174722)</v>
      </c>
      <c r="I156" s="4" t="e">
        <f ca="1">Weekly!M160</f>
        <v>#NAME?</v>
      </c>
      <c r="J156" s="4" t="s">
        <v>195</v>
      </c>
      <c r="K156" s="4" t="s">
        <v>196</v>
      </c>
    </row>
    <row r="157" spans="1:11" ht="15.75" customHeight="1" x14ac:dyDescent="0.25">
      <c r="A157" s="4" t="s">
        <v>193</v>
      </c>
      <c r="B157" s="4" t="str">
        <f>CONCATENATE(Weekly!C161," @",Weekly!A161,"_",Weekly!B161)</f>
        <v>Wipe down Urinals @NB_Men's North</v>
      </c>
      <c r="C157" s="4" t="e">
        <f ca="1">CONCATENATE(Weekly!F161," / ",Weekly!G161)</f>
        <v>#NAME?</v>
      </c>
      <c r="E157" s="4">
        <v>1</v>
      </c>
      <c r="F157" s="4">
        <v>1</v>
      </c>
      <c r="G157" s="4" t="s">
        <v>194</v>
      </c>
      <c r="H157" s="4" t="str">
        <f>LOOKUP(Weekly!E161,Workers!A:A,Workers!B:B)</f>
        <v>Ryan (57174722)</v>
      </c>
      <c r="I157" s="4" t="e">
        <f ca="1">Weekly!M161</f>
        <v>#NAME?</v>
      </c>
      <c r="J157" s="4" t="s">
        <v>195</v>
      </c>
      <c r="K157" s="4" t="s">
        <v>196</v>
      </c>
    </row>
    <row r="158" spans="1:11" ht="15.75" customHeight="1" x14ac:dyDescent="0.25">
      <c r="A158" s="4" t="s">
        <v>193</v>
      </c>
      <c r="B158" s="4" t="str">
        <f>CONCATENATE(Weekly!C162," @",Weekly!A162,"_",Weekly!B162)</f>
        <v>Empty Trash Bathroom @NB_Men's South</v>
      </c>
      <c r="C158" s="4" t="e">
        <f ca="1">CONCATENATE(Weekly!F162," / ",Weekly!G162)</f>
        <v>#NAME?</v>
      </c>
      <c r="E158" s="4">
        <v>1</v>
      </c>
      <c r="F158" s="4">
        <v>1</v>
      </c>
      <c r="G158" s="4" t="s">
        <v>194</v>
      </c>
      <c r="H158" s="4" t="str">
        <f>LOOKUP(Weekly!E162,Workers!A:A,Workers!B:B)</f>
        <v>Ryan (57174722)</v>
      </c>
      <c r="I158" s="4" t="e">
        <f ca="1">Weekly!M162</f>
        <v>#NAME?</v>
      </c>
      <c r="J158" s="4" t="s">
        <v>195</v>
      </c>
      <c r="K158" s="4" t="s">
        <v>196</v>
      </c>
    </row>
    <row r="159" spans="1:11" ht="15.75" customHeight="1" x14ac:dyDescent="0.25">
      <c r="A159" s="4" t="s">
        <v>193</v>
      </c>
      <c r="B159" s="4" t="str">
        <f>CONCATENATE(Weekly!C163," @",Weekly!A163,"_",Weekly!B163)</f>
        <v>Mop @NB_Men's South</v>
      </c>
      <c r="C159" s="4" t="e">
        <f ca="1">CONCATENATE(Weekly!F163," / ",Weekly!G163)</f>
        <v>#NAME?</v>
      </c>
      <c r="E159" s="4">
        <v>1</v>
      </c>
      <c r="F159" s="4">
        <v>1</v>
      </c>
      <c r="G159" s="4" t="s">
        <v>194</v>
      </c>
      <c r="H159" s="4" t="str">
        <f>LOOKUP(Weekly!E163,Workers!A:A,Workers!B:B)</f>
        <v>Ryan (57174722)</v>
      </c>
      <c r="I159" s="4" t="e">
        <f ca="1">Weekly!M163</f>
        <v>#NAME?</v>
      </c>
      <c r="J159" s="4" t="s">
        <v>195</v>
      </c>
      <c r="K159" s="4" t="s">
        <v>196</v>
      </c>
    </row>
    <row r="160" spans="1:11" ht="15.75" customHeight="1" x14ac:dyDescent="0.25">
      <c r="A160" s="4" t="s">
        <v>193</v>
      </c>
      <c r="B160" s="4" t="str">
        <f>CONCATENATE(Weekly!C164," @",Weekly!A164,"_",Weekly!B164)</f>
        <v>Scrub Sinks @NB_Men's South</v>
      </c>
      <c r="C160" s="4" t="e">
        <f ca="1">CONCATENATE(Weekly!F164," / ",Weekly!G164)</f>
        <v>#NAME?</v>
      </c>
      <c r="E160" s="4">
        <v>1</v>
      </c>
      <c r="F160" s="4">
        <v>1</v>
      </c>
      <c r="G160" s="4" t="s">
        <v>194</v>
      </c>
      <c r="H160" s="4" t="str">
        <f>LOOKUP(Weekly!E164,Workers!A:A,Workers!B:B)</f>
        <v>Ryan (57174722)</v>
      </c>
      <c r="I160" s="4" t="e">
        <f ca="1">Weekly!M164</f>
        <v>#NAME?</v>
      </c>
      <c r="J160" s="4" t="s">
        <v>195</v>
      </c>
      <c r="K160" s="4" t="s">
        <v>196</v>
      </c>
    </row>
    <row r="161" spans="1:11" ht="15.75" customHeight="1" x14ac:dyDescent="0.25">
      <c r="A161" s="4" t="s">
        <v>193</v>
      </c>
      <c r="B161" s="4" t="str">
        <f>CONCATENATE(Weekly!C165," @",Weekly!A165,"_",Weekly!B165)</f>
        <v>Scrub Toilets @NB_Men's South</v>
      </c>
      <c r="C161" s="4" t="e">
        <f ca="1">CONCATENATE(Weekly!F165," / ",Weekly!G165)</f>
        <v>#NAME?</v>
      </c>
      <c r="E161" s="4">
        <v>1</v>
      </c>
      <c r="F161" s="4">
        <v>1</v>
      </c>
      <c r="G161" s="4" t="s">
        <v>194</v>
      </c>
      <c r="H161" s="4" t="str">
        <f>LOOKUP(Weekly!E165,Workers!A:A,Workers!B:B)</f>
        <v>Ryan (57174722)</v>
      </c>
      <c r="I161" s="4" t="e">
        <f ca="1">Weekly!M165</f>
        <v>#NAME?</v>
      </c>
      <c r="J161" s="4" t="s">
        <v>195</v>
      </c>
      <c r="K161" s="4" t="s">
        <v>196</v>
      </c>
    </row>
    <row r="162" spans="1:11" ht="15.75" customHeight="1" x14ac:dyDescent="0.25">
      <c r="A162" s="4" t="s">
        <v>193</v>
      </c>
      <c r="B162" s="4" t="str">
        <f>CONCATENATE(Weekly!C166," @",Weekly!A166,"_",Weekly!B166)</f>
        <v>Scrub Urinals @NB_Men's South</v>
      </c>
      <c r="C162" s="4" t="e">
        <f ca="1">CONCATENATE(Weekly!F166," / ",Weekly!G166)</f>
        <v>#NAME?</v>
      </c>
      <c r="E162" s="4">
        <v>1</v>
      </c>
      <c r="F162" s="4">
        <v>1</v>
      </c>
      <c r="G162" s="4" t="s">
        <v>194</v>
      </c>
      <c r="H162" s="4" t="str">
        <f>LOOKUP(Weekly!E166,Workers!A:A,Workers!B:B)</f>
        <v>Ryan (57174722)</v>
      </c>
      <c r="I162" s="4" t="e">
        <f ca="1">Weekly!M166</f>
        <v>#NAME?</v>
      </c>
      <c r="J162" s="4" t="s">
        <v>195</v>
      </c>
      <c r="K162" s="4" t="s">
        <v>196</v>
      </c>
    </row>
    <row r="163" spans="1:11" ht="15.75" customHeight="1" x14ac:dyDescent="0.25">
      <c r="A163" s="4" t="s">
        <v>193</v>
      </c>
      <c r="B163" s="4" t="str">
        <f>CONCATENATE(Weekly!C167," @",Weekly!A167,"_",Weekly!B167)</f>
        <v>Spot Clean Mirrors @NB_Men's South</v>
      </c>
      <c r="C163" s="4" t="e">
        <f ca="1">CONCATENATE(Weekly!F167," / ",Weekly!G167)</f>
        <v>#NAME?</v>
      </c>
      <c r="E163" s="4">
        <v>1</v>
      </c>
      <c r="F163" s="4">
        <v>1</v>
      </c>
      <c r="G163" s="4" t="s">
        <v>194</v>
      </c>
      <c r="H163" s="4" t="str">
        <f>LOOKUP(Weekly!E167,Workers!A:A,Workers!B:B)</f>
        <v>Ryan (57174722)</v>
      </c>
      <c r="I163" s="4" t="e">
        <f ca="1">Weekly!M167</f>
        <v>#NAME?</v>
      </c>
      <c r="J163" s="4" t="s">
        <v>195</v>
      </c>
      <c r="K163" s="4" t="s">
        <v>196</v>
      </c>
    </row>
    <row r="164" spans="1:11" ht="15.75" customHeight="1" x14ac:dyDescent="0.25">
      <c r="A164" s="4" t="s">
        <v>193</v>
      </c>
      <c r="B164" s="4" t="str">
        <f>CONCATENATE(Weekly!C168," @",Weekly!A168,"_",Weekly!B168)</f>
        <v>Stock Bathroom Supplies @NB_Men's South</v>
      </c>
      <c r="C164" s="4" t="e">
        <f ca="1">CONCATENATE(Weekly!F168," / ",Weekly!G168)</f>
        <v>#NAME?</v>
      </c>
      <c r="E164" s="4">
        <v>1</v>
      </c>
      <c r="F164" s="4">
        <v>1</v>
      </c>
      <c r="G164" s="4" t="s">
        <v>194</v>
      </c>
      <c r="H164" s="4" t="str">
        <f>LOOKUP(Weekly!E168,Workers!A:A,Workers!B:B)</f>
        <v>Ryan (57174722)</v>
      </c>
      <c r="I164" s="4" t="e">
        <f ca="1">Weekly!M168</f>
        <v>#NAME?</v>
      </c>
      <c r="J164" s="4" t="s">
        <v>195</v>
      </c>
      <c r="K164" s="4" t="s">
        <v>196</v>
      </c>
    </row>
    <row r="165" spans="1:11" ht="15.75" customHeight="1" x14ac:dyDescent="0.25">
      <c r="A165" s="4" t="s">
        <v>193</v>
      </c>
      <c r="B165" s="4" t="str">
        <f>CONCATENATE(Weekly!C169," @",Weekly!A169,"_",Weekly!B169)</f>
        <v>Sweep @NB_Men's South</v>
      </c>
      <c r="C165" s="4" t="e">
        <f ca="1">CONCATENATE(Weekly!F169," / ",Weekly!G169)</f>
        <v>#NAME?</v>
      </c>
      <c r="E165" s="4">
        <v>1</v>
      </c>
      <c r="F165" s="4">
        <v>1</v>
      </c>
      <c r="G165" s="4" t="s">
        <v>194</v>
      </c>
      <c r="H165" s="4" t="str">
        <f>LOOKUP(Weekly!E169,Workers!A:A,Workers!B:B)</f>
        <v>Ryan (57174722)</v>
      </c>
      <c r="I165" s="4" t="e">
        <f ca="1">Weekly!M169</f>
        <v>#NAME?</v>
      </c>
      <c r="J165" s="4" t="s">
        <v>195</v>
      </c>
      <c r="K165" s="4" t="s">
        <v>196</v>
      </c>
    </row>
    <row r="166" spans="1:11" ht="15.75" customHeight="1" x14ac:dyDescent="0.25">
      <c r="A166" s="4" t="s">
        <v>193</v>
      </c>
      <c r="B166" s="4" t="str">
        <f>CONCATENATE(Weekly!C170," @",Weekly!A170,"_",Weekly!B170)</f>
        <v>Wipe down Counters @NB_Men's South</v>
      </c>
      <c r="C166" s="4" t="e">
        <f ca="1">CONCATENATE(Weekly!F170," / ",Weekly!G170)</f>
        <v>#NAME?</v>
      </c>
      <c r="E166" s="4">
        <v>1</v>
      </c>
      <c r="F166" s="4">
        <v>1</v>
      </c>
      <c r="G166" s="4" t="s">
        <v>194</v>
      </c>
      <c r="H166" s="4" t="str">
        <f>LOOKUP(Weekly!E170,Workers!A:A,Workers!B:B)</f>
        <v>Ryan (57174722)</v>
      </c>
      <c r="I166" s="4" t="e">
        <f ca="1">Weekly!M170</f>
        <v>#NAME?</v>
      </c>
      <c r="J166" s="4" t="s">
        <v>195</v>
      </c>
      <c r="K166" s="4" t="s">
        <v>196</v>
      </c>
    </row>
    <row r="167" spans="1:11" ht="15.75" customHeight="1" x14ac:dyDescent="0.25">
      <c r="A167" s="4" t="s">
        <v>193</v>
      </c>
      <c r="B167" s="4" t="str">
        <f>CONCATENATE(Weekly!C171," @",Weekly!A171,"_",Weekly!B171)</f>
        <v>Wipe down Sink @NB_Men's South</v>
      </c>
      <c r="C167" s="4" t="e">
        <f ca="1">CONCATENATE(Weekly!F171," / ",Weekly!G171)</f>
        <v>#NAME?</v>
      </c>
      <c r="E167" s="4">
        <v>1</v>
      </c>
      <c r="F167" s="4">
        <v>1</v>
      </c>
      <c r="G167" s="4" t="s">
        <v>194</v>
      </c>
      <c r="H167" s="4" t="str">
        <f>LOOKUP(Weekly!E171,Workers!A:A,Workers!B:B)</f>
        <v>Ryan (57174722)</v>
      </c>
      <c r="I167" s="4" t="e">
        <f ca="1">Weekly!M171</f>
        <v>#NAME?</v>
      </c>
      <c r="J167" s="4" t="s">
        <v>195</v>
      </c>
      <c r="K167" s="4" t="s">
        <v>196</v>
      </c>
    </row>
    <row r="168" spans="1:11" ht="15.75" customHeight="1" x14ac:dyDescent="0.25">
      <c r="A168" s="4" t="s">
        <v>193</v>
      </c>
      <c r="B168" s="4" t="str">
        <f>CONCATENATE(Weekly!C172," @",Weekly!A172,"_",Weekly!B172)</f>
        <v>Wipe down Toilets @NB_Men's South</v>
      </c>
      <c r="C168" s="4" t="e">
        <f ca="1">CONCATENATE(Weekly!F172," / ",Weekly!G172)</f>
        <v>#NAME?</v>
      </c>
      <c r="E168" s="4">
        <v>1</v>
      </c>
      <c r="F168" s="4">
        <v>1</v>
      </c>
      <c r="G168" s="4" t="s">
        <v>194</v>
      </c>
      <c r="H168" s="4" t="str">
        <f>LOOKUP(Weekly!E172,Workers!A:A,Workers!B:B)</f>
        <v>Ryan (57174722)</v>
      </c>
      <c r="I168" s="4" t="e">
        <f ca="1">Weekly!M172</f>
        <v>#NAME?</v>
      </c>
      <c r="J168" s="4" t="s">
        <v>195</v>
      </c>
      <c r="K168" s="4" t="s">
        <v>196</v>
      </c>
    </row>
    <row r="169" spans="1:11" ht="15.75" customHeight="1" x14ac:dyDescent="0.25">
      <c r="A169" s="4" t="s">
        <v>193</v>
      </c>
      <c r="B169" s="4" t="str">
        <f>CONCATENATE(Weekly!C173," @",Weekly!A173,"_",Weekly!B173)</f>
        <v>Wipe down Urinals @NB_Men's South</v>
      </c>
      <c r="C169" s="4" t="e">
        <f ca="1">CONCATENATE(Weekly!F173," / ",Weekly!G173)</f>
        <v>#NAME?</v>
      </c>
      <c r="E169" s="4">
        <v>1</v>
      </c>
      <c r="F169" s="4">
        <v>1</v>
      </c>
      <c r="G169" s="4" t="s">
        <v>194</v>
      </c>
      <c r="H169" s="4" t="str">
        <f>LOOKUP(Weekly!E173,Workers!A:A,Workers!B:B)</f>
        <v>Ryan (57174722)</v>
      </c>
      <c r="I169" s="4" t="e">
        <f ca="1">Weekly!M173</f>
        <v>#NAME?</v>
      </c>
      <c r="J169" s="4" t="s">
        <v>195</v>
      </c>
      <c r="K169" s="4" t="s">
        <v>196</v>
      </c>
    </row>
    <row r="170" spans="1:11" ht="15.75" customHeight="1" x14ac:dyDescent="0.25">
      <c r="A170" s="4" t="s">
        <v>193</v>
      </c>
      <c r="B170" s="4" t="str">
        <f>CONCATENATE(Weekly!C174," @",Weekly!A174,"_",Weekly!B174)</f>
        <v>Empty Trash Bathroom @SB_Men's East</v>
      </c>
      <c r="C170" s="4" t="e">
        <f ca="1">CONCATENATE(Weekly!F174," / ",Weekly!G174)</f>
        <v>#NAME?</v>
      </c>
      <c r="E170" s="4">
        <v>1</v>
      </c>
      <c r="F170" s="4">
        <v>1</v>
      </c>
      <c r="G170" s="4" t="s">
        <v>194</v>
      </c>
      <c r="H170" s="4" t="str">
        <f>LOOKUP(Weekly!E174,Workers!A:A,Workers!B:B)</f>
        <v>Garrett (57173225)</v>
      </c>
      <c r="I170" s="4" t="e">
        <f ca="1">Weekly!M174</f>
        <v>#NAME?</v>
      </c>
      <c r="J170" s="4" t="s">
        <v>195</v>
      </c>
      <c r="K170" s="4" t="s">
        <v>196</v>
      </c>
    </row>
    <row r="171" spans="1:11" ht="15.75" customHeight="1" x14ac:dyDescent="0.25">
      <c r="A171" s="4" t="s">
        <v>193</v>
      </c>
      <c r="B171" s="4" t="str">
        <f>CONCATENATE(Weekly!C175," @",Weekly!A175,"_",Weekly!B175)</f>
        <v>Mop @SB_Men's East</v>
      </c>
      <c r="C171" s="4" t="e">
        <f ca="1">CONCATENATE(Weekly!F175," / ",Weekly!G175)</f>
        <v>#NAME?</v>
      </c>
      <c r="E171" s="4">
        <v>1</v>
      </c>
      <c r="F171" s="4">
        <v>1</v>
      </c>
      <c r="G171" s="4" t="s">
        <v>194</v>
      </c>
      <c r="H171" s="4" t="str">
        <f>LOOKUP(Weekly!E175,Workers!A:A,Workers!B:B)</f>
        <v>Ryan (57174722)</v>
      </c>
      <c r="I171" s="4" t="e">
        <f ca="1">Weekly!M175</f>
        <v>#NAME?</v>
      </c>
      <c r="J171" s="4" t="s">
        <v>195</v>
      </c>
      <c r="K171" s="4" t="s">
        <v>196</v>
      </c>
    </row>
    <row r="172" spans="1:11" ht="15.75" customHeight="1" x14ac:dyDescent="0.25">
      <c r="A172" s="4" t="s">
        <v>193</v>
      </c>
      <c r="B172" s="4" t="str">
        <f>CONCATENATE(Weekly!C176," @",Weekly!A176,"_",Weekly!B176)</f>
        <v>Scrub Toilets @SB_Men's East</v>
      </c>
      <c r="C172" s="4" t="e">
        <f ca="1">CONCATENATE(Weekly!F176," / ",Weekly!G176)</f>
        <v>#NAME?</v>
      </c>
      <c r="E172" s="4">
        <v>1</v>
      </c>
      <c r="F172" s="4">
        <v>1</v>
      </c>
      <c r="G172" s="4" t="s">
        <v>194</v>
      </c>
      <c r="H172" s="4" t="str">
        <f>LOOKUP(Weekly!E176,Workers!A:A,Workers!B:B)</f>
        <v>Ryan (57174722)</v>
      </c>
      <c r="I172" s="4" t="e">
        <f ca="1">Weekly!M176</f>
        <v>#NAME?</v>
      </c>
      <c r="J172" s="4" t="s">
        <v>195</v>
      </c>
      <c r="K172" s="4" t="s">
        <v>196</v>
      </c>
    </row>
    <row r="173" spans="1:11" ht="15.75" customHeight="1" x14ac:dyDescent="0.25">
      <c r="A173" s="4" t="s">
        <v>193</v>
      </c>
      <c r="B173" s="4" t="str">
        <f>CONCATENATE(Weekly!C177," @",Weekly!A177,"_",Weekly!B177)</f>
        <v>Scrub Urinals @SB_Men's East</v>
      </c>
      <c r="C173" s="4" t="e">
        <f ca="1">CONCATENATE(Weekly!F177," / ",Weekly!G177)</f>
        <v>#NAME?</v>
      </c>
      <c r="E173" s="4">
        <v>1</v>
      </c>
      <c r="F173" s="4">
        <v>1</v>
      </c>
      <c r="G173" s="4" t="s">
        <v>194</v>
      </c>
      <c r="H173" s="4" t="str">
        <f>LOOKUP(Weekly!E177,Workers!A:A,Workers!B:B)</f>
        <v>Ryan (57174722)</v>
      </c>
      <c r="I173" s="4" t="e">
        <f ca="1">Weekly!M177</f>
        <v>#NAME?</v>
      </c>
      <c r="J173" s="4" t="s">
        <v>195</v>
      </c>
      <c r="K173" s="4" t="s">
        <v>196</v>
      </c>
    </row>
    <row r="174" spans="1:11" ht="15.75" customHeight="1" x14ac:dyDescent="0.25">
      <c r="A174" s="4" t="s">
        <v>193</v>
      </c>
      <c r="B174" s="4" t="str">
        <f>CONCATENATE(Weekly!C178," @",Weekly!A178,"_",Weekly!B178)</f>
        <v>Spot Clean Mirrors @SB_Men's East</v>
      </c>
      <c r="C174" s="4" t="e">
        <f ca="1">CONCATENATE(Weekly!F178," / ",Weekly!G178)</f>
        <v>#NAME?</v>
      </c>
      <c r="E174" s="4">
        <v>1</v>
      </c>
      <c r="F174" s="4">
        <v>1</v>
      </c>
      <c r="G174" s="4" t="s">
        <v>194</v>
      </c>
      <c r="H174" s="4" t="str">
        <f>LOOKUP(Weekly!E178,Workers!A:A,Workers!B:B)</f>
        <v>Ryan (57174722)</v>
      </c>
      <c r="I174" s="4" t="e">
        <f ca="1">Weekly!M178</f>
        <v>#NAME?</v>
      </c>
      <c r="J174" s="4" t="s">
        <v>195</v>
      </c>
      <c r="K174" s="4" t="s">
        <v>196</v>
      </c>
    </row>
    <row r="175" spans="1:11" ht="15.75" customHeight="1" x14ac:dyDescent="0.25">
      <c r="A175" s="4" t="s">
        <v>193</v>
      </c>
      <c r="B175" s="4" t="str">
        <f>CONCATENATE(Weekly!C179," @",Weekly!A179,"_",Weekly!B179)</f>
        <v>Stock Bathroom Supplies @SB_Men's East</v>
      </c>
      <c r="C175" s="4" t="e">
        <f ca="1">CONCATENATE(Weekly!F179," / ",Weekly!G179)</f>
        <v>#NAME?</v>
      </c>
      <c r="E175" s="4">
        <v>1</v>
      </c>
      <c r="F175" s="4">
        <v>1</v>
      </c>
      <c r="G175" s="4" t="s">
        <v>194</v>
      </c>
      <c r="H175" s="4" t="str">
        <f>LOOKUP(Weekly!E179,Workers!A:A,Workers!B:B)</f>
        <v>Garrett (57173225)</v>
      </c>
      <c r="I175" s="4" t="e">
        <f ca="1">Weekly!M179</f>
        <v>#NAME?</v>
      </c>
      <c r="J175" s="4" t="s">
        <v>195</v>
      </c>
      <c r="K175" s="4" t="s">
        <v>196</v>
      </c>
    </row>
    <row r="176" spans="1:11" ht="15.75" customHeight="1" x14ac:dyDescent="0.25">
      <c r="A176" s="4" t="s">
        <v>193</v>
      </c>
      <c r="B176" s="4" t="str">
        <f>CONCATENATE(Weekly!C180," @",Weekly!A180,"_",Weekly!B180)</f>
        <v>Sweep @SB_Men's East</v>
      </c>
      <c r="C176" s="4" t="e">
        <f ca="1">CONCATENATE(Weekly!F180," / ",Weekly!G180)</f>
        <v>#NAME?</v>
      </c>
      <c r="E176" s="4">
        <v>1</v>
      </c>
      <c r="F176" s="4">
        <v>1</v>
      </c>
      <c r="G176" s="4" t="s">
        <v>194</v>
      </c>
      <c r="H176" s="4" t="str">
        <f>LOOKUP(Weekly!E180,Workers!A:A,Workers!B:B)</f>
        <v>Garrett (57173225)</v>
      </c>
      <c r="I176" s="4" t="e">
        <f ca="1">Weekly!M180</f>
        <v>#NAME?</v>
      </c>
      <c r="J176" s="4" t="s">
        <v>195</v>
      </c>
      <c r="K176" s="4" t="s">
        <v>196</v>
      </c>
    </row>
    <row r="177" spans="1:11" ht="15.75" customHeight="1" x14ac:dyDescent="0.25">
      <c r="A177" s="4" t="s">
        <v>193</v>
      </c>
      <c r="B177" s="4" t="str">
        <f>CONCATENATE(Weekly!C181," @",Weekly!A181,"_",Weekly!B181)</f>
        <v>Wipe down Sink @SB_Men's East</v>
      </c>
      <c r="C177" s="4" t="e">
        <f ca="1">CONCATENATE(Weekly!F181," / ",Weekly!G181)</f>
        <v>#NAME?</v>
      </c>
      <c r="E177" s="4">
        <v>1</v>
      </c>
      <c r="F177" s="4">
        <v>1</v>
      </c>
      <c r="G177" s="4" t="s">
        <v>194</v>
      </c>
      <c r="H177" s="4" t="str">
        <f>LOOKUP(Weekly!E181,Workers!A:A,Workers!B:B)</f>
        <v>Garrett (57173225)</v>
      </c>
      <c r="I177" s="4" t="e">
        <f ca="1">Weekly!M181</f>
        <v>#NAME?</v>
      </c>
      <c r="J177" s="4" t="s">
        <v>195</v>
      </c>
      <c r="K177" s="4" t="s">
        <v>196</v>
      </c>
    </row>
    <row r="178" spans="1:11" ht="15.75" customHeight="1" x14ac:dyDescent="0.25">
      <c r="A178" s="4" t="s">
        <v>193</v>
      </c>
      <c r="B178" s="4" t="str">
        <f>CONCATENATE(Weekly!C182," @",Weekly!A182,"_",Weekly!B182)</f>
        <v>Wipe down Toilets @SB_Men's East</v>
      </c>
      <c r="C178" s="4" t="e">
        <f ca="1">CONCATENATE(Weekly!F182," / ",Weekly!G182)</f>
        <v>#NAME?</v>
      </c>
      <c r="E178" s="4">
        <v>1</v>
      </c>
      <c r="F178" s="4">
        <v>1</v>
      </c>
      <c r="G178" s="4" t="s">
        <v>194</v>
      </c>
      <c r="H178" s="4" t="str">
        <f>LOOKUP(Weekly!E182,Workers!A:A,Workers!B:B)</f>
        <v>Garrett (57173225)</v>
      </c>
      <c r="I178" s="4" t="e">
        <f ca="1">Weekly!M182</f>
        <v>#NAME?</v>
      </c>
      <c r="J178" s="4" t="s">
        <v>195</v>
      </c>
      <c r="K178" s="4" t="s">
        <v>196</v>
      </c>
    </row>
    <row r="179" spans="1:11" ht="15.75" customHeight="1" x14ac:dyDescent="0.25">
      <c r="A179" s="4" t="s">
        <v>193</v>
      </c>
      <c r="B179" s="4" t="str">
        <f>CONCATENATE(Weekly!C183," @",Weekly!A183,"_",Weekly!B183)</f>
        <v>Wipe down Urinals @SB_Men's East</v>
      </c>
      <c r="C179" s="4" t="e">
        <f ca="1">CONCATENATE(Weekly!F183," / ",Weekly!G183)</f>
        <v>#NAME?</v>
      </c>
      <c r="E179" s="4">
        <v>1</v>
      </c>
      <c r="F179" s="4">
        <v>1</v>
      </c>
      <c r="G179" s="4" t="s">
        <v>194</v>
      </c>
      <c r="H179" s="4" t="str">
        <f>LOOKUP(Weekly!E183,Workers!A:A,Workers!B:B)</f>
        <v>Garrett (57173225)</v>
      </c>
      <c r="I179" s="4" t="e">
        <f ca="1">Weekly!M183</f>
        <v>#NAME?</v>
      </c>
      <c r="J179" s="4" t="s">
        <v>195</v>
      </c>
      <c r="K179" s="4" t="s">
        <v>196</v>
      </c>
    </row>
    <row r="180" spans="1:11" ht="15.75" customHeight="1" x14ac:dyDescent="0.25">
      <c r="A180" s="4" t="s">
        <v>193</v>
      </c>
      <c r="B180" s="4" t="str">
        <f>CONCATENATE(Weekly!C184," @",Weekly!A184,"_",Weekly!B184)</f>
        <v>Disinfect Changing Table @NB_Men's Up</v>
      </c>
      <c r="C180" s="4" t="e">
        <f ca="1">CONCATENATE(Weekly!F184," / ",Weekly!G184)</f>
        <v>#NAME?</v>
      </c>
      <c r="E180" s="4">
        <v>1</v>
      </c>
      <c r="F180" s="4">
        <v>1</v>
      </c>
      <c r="G180" s="4" t="s">
        <v>194</v>
      </c>
      <c r="H180" s="4" t="str">
        <f>LOOKUP(Weekly!E184,Workers!A:A,Workers!B:B)</f>
        <v>Ryan (57174722)</v>
      </c>
      <c r="I180" s="4" t="e">
        <f ca="1">Weekly!M184</f>
        <v>#NAME?</v>
      </c>
      <c r="J180" s="4" t="s">
        <v>195</v>
      </c>
      <c r="K180" s="4" t="s">
        <v>196</v>
      </c>
    </row>
    <row r="181" spans="1:11" ht="15.75" customHeight="1" x14ac:dyDescent="0.25">
      <c r="A181" s="4" t="s">
        <v>193</v>
      </c>
      <c r="B181" s="4" t="str">
        <f>CONCATENATE(Weekly!C185," @",Weekly!A185,"_",Weekly!B185)</f>
        <v>Empty Diaper Genie @NB_Men's Up</v>
      </c>
      <c r="C181" s="4" t="e">
        <f ca="1">CONCATENATE(Weekly!F185," / ",Weekly!G185)</f>
        <v>#NAME?</v>
      </c>
      <c r="E181" s="4">
        <v>1</v>
      </c>
      <c r="F181" s="4">
        <v>1</v>
      </c>
      <c r="G181" s="4" t="s">
        <v>194</v>
      </c>
      <c r="H181" s="4" t="str">
        <f>LOOKUP(Weekly!E185,Workers!A:A,Workers!B:B)</f>
        <v>Ryan (57174722)</v>
      </c>
      <c r="I181" s="4" t="e">
        <f ca="1">Weekly!M185</f>
        <v>#NAME?</v>
      </c>
      <c r="J181" s="4" t="s">
        <v>195</v>
      </c>
      <c r="K181" s="4" t="s">
        <v>196</v>
      </c>
    </row>
    <row r="182" spans="1:11" ht="15.75" customHeight="1" x14ac:dyDescent="0.25">
      <c r="A182" s="4" t="s">
        <v>193</v>
      </c>
      <c r="B182" s="4" t="str">
        <f>CONCATENATE(Weekly!C186," @",Weekly!A186,"_",Weekly!B186)</f>
        <v>Empty Trash Bathroom @NB_Men's Up</v>
      </c>
      <c r="C182" s="4" t="e">
        <f ca="1">CONCATENATE(Weekly!F186," / ",Weekly!G186)</f>
        <v>#NAME?</v>
      </c>
      <c r="E182" s="4">
        <v>1</v>
      </c>
      <c r="F182" s="4">
        <v>1</v>
      </c>
      <c r="G182" s="4" t="s">
        <v>194</v>
      </c>
      <c r="H182" s="4" t="str">
        <f>LOOKUP(Weekly!E186,Workers!A:A,Workers!B:B)</f>
        <v>Ryan (57174722)</v>
      </c>
      <c r="I182" s="4" t="e">
        <f ca="1">Weekly!M186</f>
        <v>#NAME?</v>
      </c>
      <c r="J182" s="4" t="s">
        <v>195</v>
      </c>
      <c r="K182" s="4" t="s">
        <v>196</v>
      </c>
    </row>
    <row r="183" spans="1:11" ht="15.75" customHeight="1" x14ac:dyDescent="0.25">
      <c r="A183" s="4" t="s">
        <v>193</v>
      </c>
      <c r="B183" s="4" t="str">
        <f>CONCATENATE(Weekly!C187," @",Weekly!A187,"_",Weekly!B187)</f>
        <v>Mop @NB_Men's Up</v>
      </c>
      <c r="C183" s="4" t="e">
        <f ca="1">CONCATENATE(Weekly!F187," / ",Weekly!G187)</f>
        <v>#NAME?</v>
      </c>
      <c r="E183" s="4">
        <v>1</v>
      </c>
      <c r="F183" s="4">
        <v>1</v>
      </c>
      <c r="G183" s="4" t="s">
        <v>194</v>
      </c>
      <c r="H183" s="4" t="str">
        <f>LOOKUP(Weekly!E187,Workers!A:A,Workers!B:B)</f>
        <v>Ryan (57174722)</v>
      </c>
      <c r="I183" s="4" t="e">
        <f ca="1">Weekly!M187</f>
        <v>#NAME?</v>
      </c>
      <c r="J183" s="4" t="s">
        <v>195</v>
      </c>
      <c r="K183" s="4" t="s">
        <v>196</v>
      </c>
    </row>
    <row r="184" spans="1:11" ht="15.75" customHeight="1" x14ac:dyDescent="0.25">
      <c r="A184" s="4" t="s">
        <v>193</v>
      </c>
      <c r="B184" s="4" t="str">
        <f>CONCATENATE(Weekly!C188," @",Weekly!A188,"_",Weekly!B188)</f>
        <v>Scrub Sinks @NB_Men's Up</v>
      </c>
      <c r="C184" s="4" t="e">
        <f ca="1">CONCATENATE(Weekly!F188," / ",Weekly!G188)</f>
        <v>#NAME?</v>
      </c>
      <c r="E184" s="4">
        <v>1</v>
      </c>
      <c r="F184" s="4">
        <v>1</v>
      </c>
      <c r="G184" s="4" t="s">
        <v>194</v>
      </c>
      <c r="H184" s="4" t="str">
        <f>LOOKUP(Weekly!E188,Workers!A:A,Workers!B:B)</f>
        <v>Ryan (57174722)</v>
      </c>
      <c r="I184" s="4" t="e">
        <f ca="1">Weekly!M188</f>
        <v>#NAME?</v>
      </c>
      <c r="J184" s="4" t="s">
        <v>195</v>
      </c>
      <c r="K184" s="4" t="s">
        <v>196</v>
      </c>
    </row>
    <row r="185" spans="1:11" ht="15.75" customHeight="1" x14ac:dyDescent="0.25">
      <c r="A185" s="4" t="s">
        <v>193</v>
      </c>
      <c r="B185" s="4" t="str">
        <f>CONCATENATE(Weekly!C189," @",Weekly!A189,"_",Weekly!B189)</f>
        <v>Scrub Toilets @NB_Men's Up</v>
      </c>
      <c r="C185" s="4" t="e">
        <f ca="1">CONCATENATE(Weekly!F189," / ",Weekly!G189)</f>
        <v>#NAME?</v>
      </c>
      <c r="E185" s="4">
        <v>1</v>
      </c>
      <c r="F185" s="4">
        <v>1</v>
      </c>
      <c r="G185" s="4" t="s">
        <v>194</v>
      </c>
      <c r="H185" s="4" t="str">
        <f>LOOKUP(Weekly!E189,Workers!A:A,Workers!B:B)</f>
        <v>Ryan (57174722)</v>
      </c>
      <c r="I185" s="4" t="e">
        <f ca="1">Weekly!M189</f>
        <v>#NAME?</v>
      </c>
      <c r="J185" s="4" t="s">
        <v>195</v>
      </c>
      <c r="K185" s="4" t="s">
        <v>196</v>
      </c>
    </row>
    <row r="186" spans="1:11" ht="15.75" customHeight="1" x14ac:dyDescent="0.25">
      <c r="A186" s="4" t="s">
        <v>193</v>
      </c>
      <c r="B186" s="4" t="str">
        <f>CONCATENATE(Weekly!C190," @",Weekly!A190,"_",Weekly!B190)</f>
        <v>Scrub Urinals @NB_Men's Up</v>
      </c>
      <c r="C186" s="4" t="e">
        <f ca="1">CONCATENATE(Weekly!F190," / ",Weekly!G190)</f>
        <v>#NAME?</v>
      </c>
      <c r="E186" s="4">
        <v>1</v>
      </c>
      <c r="F186" s="4">
        <v>1</v>
      </c>
      <c r="G186" s="4" t="s">
        <v>194</v>
      </c>
      <c r="H186" s="4" t="str">
        <f>LOOKUP(Weekly!E190,Workers!A:A,Workers!B:B)</f>
        <v>Ryan (57174722)</v>
      </c>
      <c r="I186" s="4" t="e">
        <f ca="1">Weekly!M190</f>
        <v>#NAME?</v>
      </c>
      <c r="J186" s="4" t="s">
        <v>195</v>
      </c>
      <c r="K186" s="4" t="s">
        <v>196</v>
      </c>
    </row>
    <row r="187" spans="1:11" ht="15.75" customHeight="1" x14ac:dyDescent="0.25">
      <c r="A187" s="4" t="s">
        <v>193</v>
      </c>
      <c r="B187" s="4" t="str">
        <f>CONCATENATE(Weekly!C191," @",Weekly!A191,"_",Weekly!B191)</f>
        <v>Spot Clean Mirrors @NB_Men's Up</v>
      </c>
      <c r="C187" s="4" t="e">
        <f ca="1">CONCATENATE(Weekly!F191," / ",Weekly!G191)</f>
        <v>#NAME?</v>
      </c>
      <c r="E187" s="4">
        <v>1</v>
      </c>
      <c r="F187" s="4">
        <v>1</v>
      </c>
      <c r="G187" s="4" t="s">
        <v>194</v>
      </c>
      <c r="H187" s="4" t="str">
        <f>LOOKUP(Weekly!E191,Workers!A:A,Workers!B:B)</f>
        <v>Ryan (57174722)</v>
      </c>
      <c r="I187" s="4" t="e">
        <f ca="1">Weekly!M191</f>
        <v>#NAME?</v>
      </c>
      <c r="J187" s="4" t="s">
        <v>195</v>
      </c>
      <c r="K187" s="4" t="s">
        <v>196</v>
      </c>
    </row>
    <row r="188" spans="1:11" ht="15.75" customHeight="1" x14ac:dyDescent="0.25">
      <c r="A188" s="4" t="s">
        <v>193</v>
      </c>
      <c r="B188" s="4" t="str">
        <f>CONCATENATE(Weekly!C192," @",Weekly!A192,"_",Weekly!B192)</f>
        <v>Stock Bathroom Supplies @NB_Men's Up</v>
      </c>
      <c r="C188" s="4" t="e">
        <f ca="1">CONCATENATE(Weekly!F192," / ",Weekly!G192)</f>
        <v>#NAME?</v>
      </c>
      <c r="E188" s="4">
        <v>1</v>
      </c>
      <c r="F188" s="4">
        <v>1</v>
      </c>
      <c r="G188" s="4" t="s">
        <v>194</v>
      </c>
      <c r="H188" s="4" t="str">
        <f>LOOKUP(Weekly!E192,Workers!A:A,Workers!B:B)</f>
        <v>Ryan (57174722)</v>
      </c>
      <c r="I188" s="4" t="e">
        <f ca="1">Weekly!M192</f>
        <v>#NAME?</v>
      </c>
      <c r="J188" s="4" t="s">
        <v>195</v>
      </c>
      <c r="K188" s="4" t="s">
        <v>196</v>
      </c>
    </row>
    <row r="189" spans="1:11" ht="15.75" customHeight="1" x14ac:dyDescent="0.25">
      <c r="A189" s="4" t="s">
        <v>193</v>
      </c>
      <c r="B189" s="4" t="str">
        <f>CONCATENATE(Weekly!C193," @",Weekly!A193,"_",Weekly!B193)</f>
        <v>Sweep @NB_Men's Up</v>
      </c>
      <c r="C189" s="4" t="e">
        <f ca="1">CONCATENATE(Weekly!F193," / ",Weekly!G193)</f>
        <v>#NAME?</v>
      </c>
      <c r="E189" s="4">
        <v>1</v>
      </c>
      <c r="F189" s="4">
        <v>1</v>
      </c>
      <c r="G189" s="4" t="s">
        <v>194</v>
      </c>
      <c r="H189" s="4" t="str">
        <f>LOOKUP(Weekly!E193,Workers!A:A,Workers!B:B)</f>
        <v>Ryan (57174722)</v>
      </c>
      <c r="I189" s="4" t="e">
        <f ca="1">Weekly!M193</f>
        <v>#NAME?</v>
      </c>
      <c r="J189" s="4" t="s">
        <v>195</v>
      </c>
      <c r="K189" s="4" t="s">
        <v>196</v>
      </c>
    </row>
    <row r="190" spans="1:11" ht="15.75" customHeight="1" x14ac:dyDescent="0.25">
      <c r="A190" s="4" t="s">
        <v>193</v>
      </c>
      <c r="B190" s="4" t="str">
        <f>CONCATENATE(Weekly!C194," @",Weekly!A194,"_",Weekly!B194)</f>
        <v>Wipe down Counters @NB_Men's Up</v>
      </c>
      <c r="C190" s="4" t="e">
        <f ca="1">CONCATENATE(Weekly!F194," / ",Weekly!G194)</f>
        <v>#NAME?</v>
      </c>
      <c r="E190" s="4">
        <v>1</v>
      </c>
      <c r="F190" s="4">
        <v>1</v>
      </c>
      <c r="G190" s="4" t="s">
        <v>194</v>
      </c>
      <c r="H190" s="4" t="str">
        <f>LOOKUP(Weekly!E194,Workers!A:A,Workers!B:B)</f>
        <v>Ryan (57174722)</v>
      </c>
      <c r="I190" s="4" t="e">
        <f ca="1">Weekly!M194</f>
        <v>#NAME?</v>
      </c>
      <c r="J190" s="4" t="s">
        <v>195</v>
      </c>
      <c r="K190" s="4" t="s">
        <v>196</v>
      </c>
    </row>
    <row r="191" spans="1:11" ht="15.75" customHeight="1" x14ac:dyDescent="0.25">
      <c r="A191" s="4" t="s">
        <v>193</v>
      </c>
      <c r="B191" s="4" t="str">
        <f>CONCATENATE(Weekly!C195," @",Weekly!A195,"_",Weekly!B195)</f>
        <v>Wipe down Sink @NB_Men's Up</v>
      </c>
      <c r="C191" s="4" t="e">
        <f ca="1">CONCATENATE(Weekly!F195," / ",Weekly!G195)</f>
        <v>#NAME?</v>
      </c>
      <c r="E191" s="4">
        <v>1</v>
      </c>
      <c r="F191" s="4">
        <v>1</v>
      </c>
      <c r="G191" s="4" t="s">
        <v>194</v>
      </c>
      <c r="H191" s="4" t="str">
        <f>LOOKUP(Weekly!E195,Workers!A:A,Workers!B:B)</f>
        <v>Ryan (57174722)</v>
      </c>
      <c r="I191" s="4" t="e">
        <f ca="1">Weekly!M195</f>
        <v>#NAME?</v>
      </c>
      <c r="J191" s="4" t="s">
        <v>195</v>
      </c>
      <c r="K191" s="4" t="s">
        <v>196</v>
      </c>
    </row>
    <row r="192" spans="1:11" ht="15.75" customHeight="1" x14ac:dyDescent="0.25">
      <c r="A192" s="4" t="s">
        <v>193</v>
      </c>
      <c r="B192" s="4" t="str">
        <f>CONCATENATE(Weekly!C196," @",Weekly!A196,"_",Weekly!B196)</f>
        <v>Wipe down Toilets @NB_Men's Up</v>
      </c>
      <c r="C192" s="4" t="e">
        <f ca="1">CONCATENATE(Weekly!F196," / ",Weekly!G196)</f>
        <v>#NAME?</v>
      </c>
      <c r="E192" s="4">
        <v>1</v>
      </c>
      <c r="F192" s="4">
        <v>1</v>
      </c>
      <c r="G192" s="4" t="s">
        <v>194</v>
      </c>
      <c r="H192" s="4" t="str">
        <f>LOOKUP(Weekly!E196,Workers!A:A,Workers!B:B)</f>
        <v>Ryan (57174722)</v>
      </c>
      <c r="I192" s="4" t="e">
        <f ca="1">Weekly!M196</f>
        <v>#NAME?</v>
      </c>
      <c r="J192" s="4" t="s">
        <v>195</v>
      </c>
      <c r="K192" s="4" t="s">
        <v>196</v>
      </c>
    </row>
    <row r="193" spans="1:11" ht="15.75" customHeight="1" x14ac:dyDescent="0.25">
      <c r="A193" s="4" t="s">
        <v>193</v>
      </c>
      <c r="B193" s="4" t="str">
        <f>CONCATENATE(Weekly!C197," @",Weekly!A197,"_",Weekly!B197)</f>
        <v>Wipe down Urinals @NB_Men's Up</v>
      </c>
      <c r="C193" s="4" t="e">
        <f ca="1">CONCATENATE(Weekly!F197," / ",Weekly!G197)</f>
        <v>#NAME?</v>
      </c>
      <c r="E193" s="4">
        <v>1</v>
      </c>
      <c r="F193" s="4">
        <v>1</v>
      </c>
      <c r="G193" s="4" t="s">
        <v>194</v>
      </c>
      <c r="H193" s="4" t="str">
        <f>LOOKUP(Weekly!E197,Workers!A:A,Workers!B:B)</f>
        <v>Ryan (57174722)</v>
      </c>
      <c r="I193" s="4" t="e">
        <f ca="1">Weekly!M197</f>
        <v>#NAME?</v>
      </c>
      <c r="J193" s="4" t="s">
        <v>195</v>
      </c>
      <c r="K193" s="4" t="s">
        <v>196</v>
      </c>
    </row>
    <row r="194" spans="1:11" ht="15.75" customHeight="1" x14ac:dyDescent="0.25">
      <c r="A194" s="4" t="s">
        <v>193</v>
      </c>
      <c r="B194" s="4" t="str">
        <f>CONCATENATE(Weekly!C198," @",Weekly!A198,"_",Weekly!B198)</f>
        <v>Empty Trash Bathroom @SB_Men' West</v>
      </c>
      <c r="C194" s="4" t="e">
        <f ca="1">CONCATENATE(Weekly!F198," / ",Weekly!G198)</f>
        <v>#NAME?</v>
      </c>
      <c r="E194" s="4">
        <v>1</v>
      </c>
      <c r="F194" s="4">
        <v>1</v>
      </c>
      <c r="G194" s="4" t="s">
        <v>194</v>
      </c>
      <c r="H194" s="4" t="str">
        <f>LOOKUP(Weekly!E198,Workers!A:A,Workers!B:B)</f>
        <v>Garrett (57173225)</v>
      </c>
      <c r="I194" s="4" t="e">
        <f ca="1">Weekly!M198</f>
        <v>#NAME?</v>
      </c>
      <c r="J194" s="4" t="s">
        <v>195</v>
      </c>
      <c r="K194" s="4" t="s">
        <v>196</v>
      </c>
    </row>
    <row r="195" spans="1:11" ht="15.75" customHeight="1" x14ac:dyDescent="0.25">
      <c r="A195" s="4" t="s">
        <v>193</v>
      </c>
      <c r="B195" s="4" t="str">
        <f>CONCATENATE(Weekly!C199," @",Weekly!A199,"_",Weekly!B199)</f>
        <v>Mop @SB_Men' West</v>
      </c>
      <c r="C195" s="4" t="e">
        <f ca="1">CONCATENATE(Weekly!F199," / ",Weekly!G199)</f>
        <v>#NAME?</v>
      </c>
      <c r="E195" s="4">
        <v>1</v>
      </c>
      <c r="F195" s="4">
        <v>1</v>
      </c>
      <c r="G195" s="4" t="s">
        <v>194</v>
      </c>
      <c r="H195" s="4" t="str">
        <f>LOOKUP(Weekly!E199,Workers!A:A,Workers!B:B)</f>
        <v>Ryan (57174722)</v>
      </c>
      <c r="I195" s="4" t="e">
        <f ca="1">Weekly!M199</f>
        <v>#NAME?</v>
      </c>
      <c r="J195" s="4" t="s">
        <v>195</v>
      </c>
      <c r="K195" s="4" t="s">
        <v>196</v>
      </c>
    </row>
    <row r="196" spans="1:11" ht="15.75" customHeight="1" x14ac:dyDescent="0.25">
      <c r="A196" s="4" t="s">
        <v>193</v>
      </c>
      <c r="B196" s="4" t="str">
        <f>CONCATENATE(Weekly!C200," @",Weekly!A200,"_",Weekly!B200)</f>
        <v>Scrub Toilets @SB_Men' West</v>
      </c>
      <c r="C196" s="4" t="e">
        <f ca="1">CONCATENATE(Weekly!F200," / ",Weekly!G200)</f>
        <v>#NAME?</v>
      </c>
      <c r="E196" s="4">
        <v>1</v>
      </c>
      <c r="F196" s="4">
        <v>1</v>
      </c>
      <c r="G196" s="4" t="s">
        <v>194</v>
      </c>
      <c r="H196" s="4" t="str">
        <f>LOOKUP(Weekly!E200,Workers!A:A,Workers!B:B)</f>
        <v>Ryan (57174722)</v>
      </c>
      <c r="I196" s="4" t="e">
        <f ca="1">Weekly!M200</f>
        <v>#NAME?</v>
      </c>
      <c r="J196" s="4" t="s">
        <v>195</v>
      </c>
      <c r="K196" s="4" t="s">
        <v>196</v>
      </c>
    </row>
    <row r="197" spans="1:11" ht="15.75" customHeight="1" x14ac:dyDescent="0.25">
      <c r="A197" s="4" t="s">
        <v>193</v>
      </c>
      <c r="B197" s="4" t="str">
        <f>CONCATENATE(Weekly!C201," @",Weekly!A201,"_",Weekly!B201)</f>
        <v>Scrub Urinals @SB_Men' West</v>
      </c>
      <c r="C197" s="4" t="e">
        <f ca="1">CONCATENATE(Weekly!F201," / ",Weekly!G201)</f>
        <v>#NAME?</v>
      </c>
      <c r="E197" s="4">
        <v>1</v>
      </c>
      <c r="F197" s="4">
        <v>1</v>
      </c>
      <c r="G197" s="4" t="s">
        <v>194</v>
      </c>
      <c r="H197" s="4" t="str">
        <f>LOOKUP(Weekly!E201,Workers!A:A,Workers!B:B)</f>
        <v>Ryan (57174722)</v>
      </c>
      <c r="I197" s="4" t="e">
        <f ca="1">Weekly!M201</f>
        <v>#NAME?</v>
      </c>
      <c r="J197" s="4" t="s">
        <v>195</v>
      </c>
      <c r="K197" s="4" t="s">
        <v>196</v>
      </c>
    </row>
    <row r="198" spans="1:11" ht="15.75" customHeight="1" x14ac:dyDescent="0.25">
      <c r="A198" s="4" t="s">
        <v>193</v>
      </c>
      <c r="B198" s="4" t="str">
        <f>CONCATENATE(Weekly!C202," @",Weekly!A202,"_",Weekly!B202)</f>
        <v>Spot Clean Mirrors @SB_Men' West</v>
      </c>
      <c r="C198" s="4" t="e">
        <f ca="1">CONCATENATE(Weekly!F202," / ",Weekly!G202)</f>
        <v>#NAME?</v>
      </c>
      <c r="E198" s="4">
        <v>1</v>
      </c>
      <c r="F198" s="4">
        <v>1</v>
      </c>
      <c r="G198" s="4" t="s">
        <v>194</v>
      </c>
      <c r="H198" s="4" t="str">
        <f>LOOKUP(Weekly!E202,Workers!A:A,Workers!B:B)</f>
        <v>Ryan (57174722)</v>
      </c>
      <c r="I198" s="4" t="e">
        <f ca="1">Weekly!M202</f>
        <v>#NAME?</v>
      </c>
      <c r="J198" s="4" t="s">
        <v>195</v>
      </c>
      <c r="K198" s="4" t="s">
        <v>196</v>
      </c>
    </row>
    <row r="199" spans="1:11" ht="15.75" customHeight="1" x14ac:dyDescent="0.25">
      <c r="A199" s="4" t="s">
        <v>193</v>
      </c>
      <c r="B199" s="4" t="str">
        <f>CONCATENATE(Weekly!C203," @",Weekly!A203,"_",Weekly!B203)</f>
        <v>Stock Bathroom Supplies @SB_Men' West</v>
      </c>
      <c r="C199" s="4" t="e">
        <f ca="1">CONCATENATE(Weekly!F203," / ",Weekly!G203)</f>
        <v>#NAME?</v>
      </c>
      <c r="E199" s="4">
        <v>1</v>
      </c>
      <c r="F199" s="4">
        <v>1</v>
      </c>
      <c r="G199" s="4" t="s">
        <v>194</v>
      </c>
      <c r="H199" s="4" t="str">
        <f>LOOKUP(Weekly!E203,Workers!A:A,Workers!B:B)</f>
        <v>Garrett (57173225)</v>
      </c>
      <c r="I199" s="4" t="e">
        <f ca="1">Weekly!M203</f>
        <v>#NAME?</v>
      </c>
      <c r="J199" s="4" t="s">
        <v>195</v>
      </c>
      <c r="K199" s="4" t="s">
        <v>196</v>
      </c>
    </row>
    <row r="200" spans="1:11" ht="15.75" customHeight="1" x14ac:dyDescent="0.25">
      <c r="A200" s="4" t="s">
        <v>193</v>
      </c>
      <c r="B200" s="4" t="str">
        <f>CONCATENATE(Weekly!C204," @",Weekly!A204,"_",Weekly!B204)</f>
        <v>Sweep @SB_Men' West</v>
      </c>
      <c r="C200" s="4" t="e">
        <f ca="1">CONCATENATE(Weekly!F204," / ",Weekly!G204)</f>
        <v>#NAME?</v>
      </c>
      <c r="E200" s="4">
        <v>1</v>
      </c>
      <c r="F200" s="4">
        <v>1</v>
      </c>
      <c r="G200" s="4" t="s">
        <v>194</v>
      </c>
      <c r="H200" s="4" t="str">
        <f>LOOKUP(Weekly!E204,Workers!A:A,Workers!B:B)</f>
        <v>Garrett (57173225)</v>
      </c>
      <c r="I200" s="4" t="e">
        <f ca="1">Weekly!M204</f>
        <v>#NAME?</v>
      </c>
      <c r="J200" s="4" t="s">
        <v>195</v>
      </c>
      <c r="K200" s="4" t="s">
        <v>196</v>
      </c>
    </row>
    <row r="201" spans="1:11" ht="15.75" customHeight="1" x14ac:dyDescent="0.25">
      <c r="A201" s="4" t="s">
        <v>193</v>
      </c>
      <c r="B201" s="4" t="str">
        <f>CONCATENATE(Weekly!C205," @",Weekly!A205,"_",Weekly!B205)</f>
        <v>Wipe down Sink @SB_Men' West</v>
      </c>
      <c r="C201" s="4" t="e">
        <f ca="1">CONCATENATE(Weekly!F205," / ",Weekly!G205)</f>
        <v>#NAME?</v>
      </c>
      <c r="E201" s="4">
        <v>1</v>
      </c>
      <c r="F201" s="4">
        <v>1</v>
      </c>
      <c r="G201" s="4" t="s">
        <v>194</v>
      </c>
      <c r="H201" s="4" t="str">
        <f>LOOKUP(Weekly!E205,Workers!A:A,Workers!B:B)</f>
        <v>Garrett (57173225)</v>
      </c>
      <c r="I201" s="4" t="e">
        <f ca="1">Weekly!M205</f>
        <v>#NAME?</v>
      </c>
      <c r="J201" s="4" t="s">
        <v>195</v>
      </c>
      <c r="K201" s="4" t="s">
        <v>196</v>
      </c>
    </row>
    <row r="202" spans="1:11" ht="15.75" customHeight="1" x14ac:dyDescent="0.25">
      <c r="A202" s="4" t="s">
        <v>193</v>
      </c>
      <c r="B202" s="4" t="str">
        <f>CONCATENATE(Weekly!C206," @",Weekly!A206,"_",Weekly!B206)</f>
        <v>Wipe down Toilets @SB_Men' West</v>
      </c>
      <c r="C202" s="4" t="e">
        <f ca="1">CONCATENATE(Weekly!F206," / ",Weekly!G206)</f>
        <v>#NAME?</v>
      </c>
      <c r="E202" s="4">
        <v>1</v>
      </c>
      <c r="F202" s="4">
        <v>1</v>
      </c>
      <c r="G202" s="4" t="s">
        <v>194</v>
      </c>
      <c r="H202" s="4" t="str">
        <f>LOOKUP(Weekly!E206,Workers!A:A,Workers!B:B)</f>
        <v>Garrett (57173225)</v>
      </c>
      <c r="I202" s="4" t="e">
        <f ca="1">Weekly!M206</f>
        <v>#NAME?</v>
      </c>
      <c r="J202" s="4" t="s">
        <v>195</v>
      </c>
      <c r="K202" s="4" t="s">
        <v>196</v>
      </c>
    </row>
    <row r="203" spans="1:11" ht="15.75" customHeight="1" x14ac:dyDescent="0.25">
      <c r="A203" s="4" t="s">
        <v>193</v>
      </c>
      <c r="B203" s="4" t="str">
        <f>CONCATENATE(Weekly!C207," @",Weekly!A207,"_",Weekly!B207)</f>
        <v>Wipe down Urinals @SB_Men' West</v>
      </c>
      <c r="C203" s="4" t="e">
        <f ca="1">CONCATENATE(Weekly!F207," / ",Weekly!G207)</f>
        <v>#NAME?</v>
      </c>
      <c r="E203" s="4">
        <v>1</v>
      </c>
      <c r="F203" s="4">
        <v>1</v>
      </c>
      <c r="G203" s="4" t="s">
        <v>194</v>
      </c>
      <c r="H203" s="4" t="str">
        <f>LOOKUP(Weekly!E207,Workers!A:A,Workers!B:B)</f>
        <v>Garrett (57173225)</v>
      </c>
      <c r="I203" s="4" t="e">
        <f ca="1">Weekly!M207</f>
        <v>#NAME?</v>
      </c>
      <c r="J203" s="4" t="s">
        <v>195</v>
      </c>
      <c r="K203" s="4" t="s">
        <v>196</v>
      </c>
    </row>
    <row r="204" spans="1:11" ht="15.75" customHeight="1" x14ac:dyDescent="0.25">
      <c r="A204" s="4" t="s">
        <v>193</v>
      </c>
      <c r="B204" s="4" t="str">
        <f>CONCATENATE(Weekly!C208," @",Weekly!A208,"_",Weekly!B208)</f>
        <v>Empty Trash Small @NB_Nursery Restroom</v>
      </c>
      <c r="C204" s="4" t="e">
        <f ca="1">CONCATENATE(Weekly!F208," / ",Weekly!G208)</f>
        <v>#NAME?</v>
      </c>
      <c r="E204" s="4">
        <v>1</v>
      </c>
      <c r="F204" s="4">
        <v>1</v>
      </c>
      <c r="G204" s="4" t="s">
        <v>194</v>
      </c>
      <c r="H204" s="4" t="str">
        <f>LOOKUP(Weekly!E208,Workers!A:A,Workers!B:B)</f>
        <v>Ryan (57174722)</v>
      </c>
      <c r="I204" s="4" t="e">
        <f ca="1">Weekly!M208</f>
        <v>#NAME?</v>
      </c>
      <c r="J204" s="4" t="s">
        <v>195</v>
      </c>
      <c r="K204" s="4" t="s">
        <v>196</v>
      </c>
    </row>
    <row r="205" spans="1:11" ht="15.75" customHeight="1" x14ac:dyDescent="0.25">
      <c r="A205" s="4" t="s">
        <v>193</v>
      </c>
      <c r="B205" s="4" t="str">
        <f>CONCATENATE(Weekly!C209," @",Weekly!A209,"_",Weekly!B209)</f>
        <v>Mop @NB_Nursery Restroom</v>
      </c>
      <c r="C205" s="4" t="e">
        <f ca="1">CONCATENATE(Weekly!F209," / ",Weekly!G209)</f>
        <v>#NAME?</v>
      </c>
      <c r="E205" s="4">
        <v>1</v>
      </c>
      <c r="F205" s="4">
        <v>1</v>
      </c>
      <c r="G205" s="4" t="s">
        <v>194</v>
      </c>
      <c r="H205" s="4" t="str">
        <f>LOOKUP(Weekly!E209,Workers!A:A,Workers!B:B)</f>
        <v>Ryan (57174722)</v>
      </c>
      <c r="I205" s="4" t="e">
        <f ca="1">Weekly!M209</f>
        <v>#NAME?</v>
      </c>
      <c r="J205" s="4" t="s">
        <v>195</v>
      </c>
      <c r="K205" s="4" t="s">
        <v>196</v>
      </c>
    </row>
    <row r="206" spans="1:11" ht="15.75" customHeight="1" x14ac:dyDescent="0.25">
      <c r="A206" s="4" t="s">
        <v>193</v>
      </c>
      <c r="B206" s="4" t="str">
        <f>CONCATENATE(Weekly!C210," @",Weekly!A210,"_",Weekly!B210)</f>
        <v>Scrub Sinks @NB_Nursery Restroom</v>
      </c>
      <c r="C206" s="4" t="e">
        <f ca="1">CONCATENATE(Weekly!F210," / ",Weekly!G210)</f>
        <v>#NAME?</v>
      </c>
      <c r="E206" s="4">
        <v>1</v>
      </c>
      <c r="F206" s="4">
        <v>1</v>
      </c>
      <c r="G206" s="4" t="s">
        <v>194</v>
      </c>
      <c r="H206" s="4" t="str">
        <f>LOOKUP(Weekly!E210,Workers!A:A,Workers!B:B)</f>
        <v>Ryan (57174722)</v>
      </c>
      <c r="I206" s="4" t="e">
        <f ca="1">Weekly!M210</f>
        <v>#NAME?</v>
      </c>
      <c r="J206" s="4" t="s">
        <v>195</v>
      </c>
      <c r="K206" s="4" t="s">
        <v>196</v>
      </c>
    </row>
    <row r="207" spans="1:11" ht="15.75" customHeight="1" x14ac:dyDescent="0.25">
      <c r="A207" s="4" t="s">
        <v>193</v>
      </c>
      <c r="B207" s="4" t="str">
        <f>CONCATENATE(Weekly!C211," @",Weekly!A211,"_",Weekly!B211)</f>
        <v>Scrub Toilets @NB_Nursery Restroom</v>
      </c>
      <c r="C207" s="4" t="e">
        <f ca="1">CONCATENATE(Weekly!F211," / ",Weekly!G211)</f>
        <v>#NAME?</v>
      </c>
      <c r="E207" s="4">
        <v>1</v>
      </c>
      <c r="F207" s="4">
        <v>1</v>
      </c>
      <c r="G207" s="4" t="s">
        <v>194</v>
      </c>
      <c r="H207" s="4" t="str">
        <f>LOOKUP(Weekly!E211,Workers!A:A,Workers!B:B)</f>
        <v>Ryan (57174722)</v>
      </c>
      <c r="I207" s="4" t="e">
        <f ca="1">Weekly!M211</f>
        <v>#NAME?</v>
      </c>
      <c r="J207" s="4" t="s">
        <v>195</v>
      </c>
      <c r="K207" s="4" t="s">
        <v>196</v>
      </c>
    </row>
    <row r="208" spans="1:11" ht="15.75" customHeight="1" x14ac:dyDescent="0.25">
      <c r="A208" s="4" t="s">
        <v>193</v>
      </c>
      <c r="B208" s="4" t="str">
        <f>CONCATENATE(Weekly!C212," @",Weekly!A212,"_",Weekly!B212)</f>
        <v>Spot Clean Mirrors @NB_Nursery Restroom</v>
      </c>
      <c r="C208" s="4" t="e">
        <f ca="1">CONCATENATE(Weekly!F212," / ",Weekly!G212)</f>
        <v>#NAME?</v>
      </c>
      <c r="E208" s="4">
        <v>1</v>
      </c>
      <c r="F208" s="4">
        <v>1</v>
      </c>
      <c r="G208" s="4" t="s">
        <v>194</v>
      </c>
      <c r="H208" s="4" t="str">
        <f>LOOKUP(Weekly!E212,Workers!A:A,Workers!B:B)</f>
        <v>Ryan (57174722)</v>
      </c>
      <c r="I208" s="4" t="e">
        <f ca="1">Weekly!M212</f>
        <v>#NAME?</v>
      </c>
      <c r="J208" s="4" t="s">
        <v>195</v>
      </c>
      <c r="K208" s="4" t="s">
        <v>196</v>
      </c>
    </row>
    <row r="209" spans="1:11" ht="15.75" customHeight="1" x14ac:dyDescent="0.25">
      <c r="A209" s="4" t="s">
        <v>193</v>
      </c>
      <c r="B209" s="4" t="str">
        <f>CONCATENATE(Weekly!C213," @",Weekly!A213,"_",Weekly!B213)</f>
        <v>Stock Bathroom Supplies @NB_Nursery Restroom</v>
      </c>
      <c r="C209" s="4" t="e">
        <f ca="1">CONCATENATE(Weekly!F213," / ",Weekly!G213)</f>
        <v>#NAME?</v>
      </c>
      <c r="E209" s="4">
        <v>1</v>
      </c>
      <c r="F209" s="4">
        <v>1</v>
      </c>
      <c r="G209" s="4" t="s">
        <v>194</v>
      </c>
      <c r="H209" s="4" t="str">
        <f>LOOKUP(Weekly!E213,Workers!A:A,Workers!B:B)</f>
        <v>Ryan (57174722)</v>
      </c>
      <c r="I209" s="4" t="e">
        <f ca="1">Weekly!M213</f>
        <v>#NAME?</v>
      </c>
      <c r="J209" s="4" t="s">
        <v>195</v>
      </c>
      <c r="K209" s="4" t="s">
        <v>196</v>
      </c>
    </row>
    <row r="210" spans="1:11" ht="15.75" customHeight="1" x14ac:dyDescent="0.25">
      <c r="A210" s="4" t="s">
        <v>193</v>
      </c>
      <c r="B210" s="4" t="str">
        <f>CONCATENATE(Weekly!C214," @",Weekly!A214,"_",Weekly!B214)</f>
        <v>Sweep @NB_Nursery Restroom</v>
      </c>
      <c r="C210" s="4" t="e">
        <f ca="1">CONCATENATE(Weekly!F214," / ",Weekly!G214)</f>
        <v>#NAME?</v>
      </c>
      <c r="E210" s="4">
        <v>1</v>
      </c>
      <c r="F210" s="4">
        <v>1</v>
      </c>
      <c r="G210" s="4" t="s">
        <v>194</v>
      </c>
      <c r="H210" s="4" t="str">
        <f>LOOKUP(Weekly!E214,Workers!A:A,Workers!B:B)</f>
        <v>Ryan (57174722)</v>
      </c>
      <c r="I210" s="4" t="e">
        <f ca="1">Weekly!M214</f>
        <v>#NAME?</v>
      </c>
      <c r="J210" s="4" t="s">
        <v>195</v>
      </c>
      <c r="K210" s="4" t="s">
        <v>196</v>
      </c>
    </row>
    <row r="211" spans="1:11" ht="15.75" customHeight="1" x14ac:dyDescent="0.25">
      <c r="A211" s="4" t="s">
        <v>193</v>
      </c>
      <c r="B211" s="4" t="str">
        <f>CONCATENATE(Weekly!C215," @",Weekly!A215,"_",Weekly!B215)</f>
        <v>Wipe down Counters @NB_Nursery Restroom</v>
      </c>
      <c r="C211" s="4" t="e">
        <f ca="1">CONCATENATE(Weekly!F215," / ",Weekly!G215)</f>
        <v>#NAME?</v>
      </c>
      <c r="E211" s="4">
        <v>1</v>
      </c>
      <c r="F211" s="4">
        <v>1</v>
      </c>
      <c r="G211" s="4" t="s">
        <v>194</v>
      </c>
      <c r="H211" s="4" t="str">
        <f>LOOKUP(Weekly!E215,Workers!A:A,Workers!B:B)</f>
        <v>Ryan (57174722)</v>
      </c>
      <c r="I211" s="4" t="e">
        <f ca="1">Weekly!M215</f>
        <v>#NAME?</v>
      </c>
      <c r="J211" s="4" t="s">
        <v>195</v>
      </c>
      <c r="K211" s="4" t="s">
        <v>196</v>
      </c>
    </row>
    <row r="212" spans="1:11" ht="15.75" customHeight="1" x14ac:dyDescent="0.25">
      <c r="A212" s="4" t="s">
        <v>193</v>
      </c>
      <c r="B212" s="4" t="str">
        <f>CONCATENATE(Weekly!C216," @",Weekly!A216,"_",Weekly!B216)</f>
        <v>Wipe down Sink @NB_Nursery Restroom</v>
      </c>
      <c r="C212" s="4" t="e">
        <f ca="1">CONCATENATE(Weekly!F216," / ",Weekly!G216)</f>
        <v>#NAME?</v>
      </c>
      <c r="E212" s="4">
        <v>1</v>
      </c>
      <c r="F212" s="4">
        <v>1</v>
      </c>
      <c r="G212" s="4" t="s">
        <v>194</v>
      </c>
      <c r="H212" s="4" t="str">
        <f>LOOKUP(Weekly!E216,Workers!A:A,Workers!B:B)</f>
        <v>Ryan (57174722)</v>
      </c>
      <c r="I212" s="4" t="e">
        <f ca="1">Weekly!M216</f>
        <v>#NAME?</v>
      </c>
      <c r="J212" s="4" t="s">
        <v>195</v>
      </c>
      <c r="K212" s="4" t="s">
        <v>196</v>
      </c>
    </row>
    <row r="213" spans="1:11" ht="15.75" customHeight="1" x14ac:dyDescent="0.25">
      <c r="A213" s="4" t="s">
        <v>193</v>
      </c>
      <c r="B213" s="4" t="str">
        <f>CONCATENATE(Weekly!C217," @",Weekly!A217,"_",Weekly!B217)</f>
        <v>Wipe down Toilets @NB_Nursery Restroom</v>
      </c>
      <c r="C213" s="4" t="e">
        <f ca="1">CONCATENATE(Weekly!F217," / ",Weekly!G217)</f>
        <v>#NAME?</v>
      </c>
      <c r="E213" s="4">
        <v>1</v>
      </c>
      <c r="F213" s="4">
        <v>1</v>
      </c>
      <c r="G213" s="4" t="s">
        <v>194</v>
      </c>
      <c r="H213" s="4" t="str">
        <f>LOOKUP(Weekly!E217,Workers!A:A,Workers!B:B)</f>
        <v>Ryan (57174722)</v>
      </c>
      <c r="I213" s="4" t="e">
        <f ca="1">Weekly!M217</f>
        <v>#NAME?</v>
      </c>
      <c r="J213" s="4" t="s">
        <v>195</v>
      </c>
      <c r="K213" s="4" t="s">
        <v>196</v>
      </c>
    </row>
    <row r="214" spans="1:11" ht="15.75" customHeight="1" x14ac:dyDescent="0.25">
      <c r="A214" s="4" t="s">
        <v>193</v>
      </c>
      <c r="B214" s="4" t="str">
        <f>CONCATENATE(Weekly!C218," @",Weekly!A218,"_",Weekly!B218)</f>
        <v>Empty Trash Small @NB_Preschool Restroom</v>
      </c>
      <c r="C214" s="4" t="e">
        <f ca="1">CONCATENATE(Weekly!F218," / ",Weekly!G218)</f>
        <v>#NAME?</v>
      </c>
      <c r="E214" s="4">
        <v>1</v>
      </c>
      <c r="F214" s="4">
        <v>1</v>
      </c>
      <c r="G214" s="4" t="s">
        <v>194</v>
      </c>
      <c r="H214" s="4" t="str">
        <f>LOOKUP(Weekly!E218,Workers!A:A,Workers!B:B)</f>
        <v>Ryan (57174722)</v>
      </c>
      <c r="I214" s="4" t="e">
        <f ca="1">Weekly!M218</f>
        <v>#NAME?</v>
      </c>
      <c r="J214" s="4" t="s">
        <v>195</v>
      </c>
      <c r="K214" s="4" t="s">
        <v>196</v>
      </c>
    </row>
    <row r="215" spans="1:11" ht="15.75" customHeight="1" x14ac:dyDescent="0.25">
      <c r="A215" s="4" t="s">
        <v>193</v>
      </c>
      <c r="B215" s="4" t="str">
        <f>CONCATENATE(Weekly!C219," @",Weekly!A219,"_",Weekly!B219)</f>
        <v>Mop @NB_Preschool Restroom</v>
      </c>
      <c r="C215" s="4" t="e">
        <f ca="1">CONCATENATE(Weekly!F219," / ",Weekly!G219)</f>
        <v>#NAME?</v>
      </c>
      <c r="E215" s="4">
        <v>1</v>
      </c>
      <c r="F215" s="4">
        <v>1</v>
      </c>
      <c r="G215" s="4" t="s">
        <v>194</v>
      </c>
      <c r="H215" s="4" t="str">
        <f>LOOKUP(Weekly!E219,Workers!A:A,Workers!B:B)</f>
        <v>Ryan (57174722)</v>
      </c>
      <c r="I215" s="4" t="e">
        <f ca="1">Weekly!M219</f>
        <v>#NAME?</v>
      </c>
      <c r="J215" s="4" t="s">
        <v>195</v>
      </c>
      <c r="K215" s="4" t="s">
        <v>196</v>
      </c>
    </row>
    <row r="216" spans="1:11" ht="15.75" customHeight="1" x14ac:dyDescent="0.25">
      <c r="A216" s="4" t="s">
        <v>193</v>
      </c>
      <c r="B216" s="4" t="str">
        <f>CONCATENATE(Weekly!C220," @",Weekly!A220,"_",Weekly!B220)</f>
        <v>Scrub Sinks @NB_Preschool Restroom</v>
      </c>
      <c r="C216" s="4" t="e">
        <f ca="1">CONCATENATE(Weekly!F220," / ",Weekly!G220)</f>
        <v>#NAME?</v>
      </c>
      <c r="E216" s="4">
        <v>1</v>
      </c>
      <c r="F216" s="4">
        <v>1</v>
      </c>
      <c r="G216" s="4" t="s">
        <v>194</v>
      </c>
      <c r="H216" s="4" t="str">
        <f>LOOKUP(Weekly!E220,Workers!A:A,Workers!B:B)</f>
        <v>Ryan (57174722)</v>
      </c>
      <c r="I216" s="4" t="e">
        <f ca="1">Weekly!M220</f>
        <v>#NAME?</v>
      </c>
      <c r="J216" s="4" t="s">
        <v>195</v>
      </c>
      <c r="K216" s="4" t="s">
        <v>196</v>
      </c>
    </row>
    <row r="217" spans="1:11" ht="15.75" customHeight="1" x14ac:dyDescent="0.25">
      <c r="A217" s="4" t="s">
        <v>193</v>
      </c>
      <c r="B217" s="4" t="str">
        <f>CONCATENATE(Weekly!C221," @",Weekly!A221,"_",Weekly!B221)</f>
        <v>Scrub Toilets @NB_Preschool Restroom</v>
      </c>
      <c r="C217" s="4" t="e">
        <f ca="1">CONCATENATE(Weekly!F221," / ",Weekly!G221)</f>
        <v>#NAME?</v>
      </c>
      <c r="E217" s="4">
        <v>1</v>
      </c>
      <c r="F217" s="4">
        <v>1</v>
      </c>
      <c r="G217" s="4" t="s">
        <v>194</v>
      </c>
      <c r="H217" s="4" t="str">
        <f>LOOKUP(Weekly!E221,Workers!A:A,Workers!B:B)</f>
        <v>Ryan (57174722)</v>
      </c>
      <c r="I217" s="4" t="e">
        <f ca="1">Weekly!M221</f>
        <v>#NAME?</v>
      </c>
      <c r="J217" s="4" t="s">
        <v>195</v>
      </c>
      <c r="K217" s="4" t="s">
        <v>196</v>
      </c>
    </row>
    <row r="218" spans="1:11" ht="15.75" customHeight="1" x14ac:dyDescent="0.25">
      <c r="A218" s="4" t="s">
        <v>193</v>
      </c>
      <c r="B218" s="4" t="str">
        <f>CONCATENATE(Weekly!C222," @",Weekly!A222,"_",Weekly!B222)</f>
        <v>Spot Clean Mirrors @NB_Preschool Restroom</v>
      </c>
      <c r="C218" s="4" t="e">
        <f ca="1">CONCATENATE(Weekly!F222," / ",Weekly!G222)</f>
        <v>#NAME?</v>
      </c>
      <c r="E218" s="4">
        <v>1</v>
      </c>
      <c r="F218" s="4">
        <v>1</v>
      </c>
      <c r="G218" s="4" t="s">
        <v>194</v>
      </c>
      <c r="H218" s="4" t="str">
        <f>LOOKUP(Weekly!E222,Workers!A:A,Workers!B:B)</f>
        <v>Ryan (57174722)</v>
      </c>
      <c r="I218" s="4" t="e">
        <f ca="1">Weekly!M222</f>
        <v>#NAME?</v>
      </c>
      <c r="J218" s="4" t="s">
        <v>195</v>
      </c>
      <c r="K218" s="4" t="s">
        <v>196</v>
      </c>
    </row>
    <row r="219" spans="1:11" ht="15.75" customHeight="1" x14ac:dyDescent="0.25">
      <c r="A219" s="4" t="s">
        <v>193</v>
      </c>
      <c r="B219" s="4" t="str">
        <f>CONCATENATE(Weekly!C223," @",Weekly!A223,"_",Weekly!B223)</f>
        <v>Stock Bathroom Supplies @NB_Preschool Restroom</v>
      </c>
      <c r="C219" s="4" t="e">
        <f ca="1">CONCATENATE(Weekly!F223," / ",Weekly!G223)</f>
        <v>#NAME?</v>
      </c>
      <c r="E219" s="4">
        <v>1</v>
      </c>
      <c r="F219" s="4">
        <v>1</v>
      </c>
      <c r="G219" s="4" t="s">
        <v>194</v>
      </c>
      <c r="H219" s="4" t="str">
        <f>LOOKUP(Weekly!E223,Workers!A:A,Workers!B:B)</f>
        <v>Ryan (57174722)</v>
      </c>
      <c r="I219" s="4" t="e">
        <f ca="1">Weekly!M223</f>
        <v>#NAME?</v>
      </c>
      <c r="J219" s="4" t="s">
        <v>195</v>
      </c>
      <c r="K219" s="4" t="s">
        <v>196</v>
      </c>
    </row>
    <row r="220" spans="1:11" ht="15.75" customHeight="1" x14ac:dyDescent="0.25">
      <c r="A220" s="4" t="s">
        <v>193</v>
      </c>
      <c r="B220" s="4" t="str">
        <f>CONCATENATE(Weekly!C224," @",Weekly!A224,"_",Weekly!B224)</f>
        <v>Sweep @NB_Preschool Restroom</v>
      </c>
      <c r="C220" s="4" t="e">
        <f ca="1">CONCATENATE(Weekly!F224," / ",Weekly!G224)</f>
        <v>#NAME?</v>
      </c>
      <c r="E220" s="4">
        <v>1</v>
      </c>
      <c r="F220" s="4">
        <v>1</v>
      </c>
      <c r="G220" s="4" t="s">
        <v>194</v>
      </c>
      <c r="H220" s="4" t="str">
        <f>LOOKUP(Weekly!E224,Workers!A:A,Workers!B:B)</f>
        <v>Ryan (57174722)</v>
      </c>
      <c r="I220" s="4" t="e">
        <f ca="1">Weekly!M224</f>
        <v>#NAME?</v>
      </c>
      <c r="J220" s="4" t="s">
        <v>195</v>
      </c>
      <c r="K220" s="4" t="s">
        <v>196</v>
      </c>
    </row>
    <row r="221" spans="1:11" ht="15.75" customHeight="1" x14ac:dyDescent="0.25">
      <c r="A221" s="4" t="s">
        <v>193</v>
      </c>
      <c r="B221" s="4" t="str">
        <f>CONCATENATE(Weekly!C225," @",Weekly!A225,"_",Weekly!B225)</f>
        <v>Wipe down Counters @NB_Preschool Restroom</v>
      </c>
      <c r="C221" s="4" t="e">
        <f ca="1">CONCATENATE(Weekly!F225," / ",Weekly!G225)</f>
        <v>#NAME?</v>
      </c>
      <c r="E221" s="4">
        <v>1</v>
      </c>
      <c r="F221" s="4">
        <v>1</v>
      </c>
      <c r="G221" s="4" t="s">
        <v>194</v>
      </c>
      <c r="H221" s="4" t="str">
        <f>LOOKUP(Weekly!E225,Workers!A:A,Workers!B:B)</f>
        <v>Ryan (57174722)</v>
      </c>
      <c r="I221" s="4" t="e">
        <f ca="1">Weekly!M225</f>
        <v>#NAME?</v>
      </c>
      <c r="J221" s="4" t="s">
        <v>195</v>
      </c>
      <c r="K221" s="4" t="s">
        <v>196</v>
      </c>
    </row>
    <row r="222" spans="1:11" ht="15.75" customHeight="1" x14ac:dyDescent="0.25">
      <c r="A222" s="4" t="s">
        <v>193</v>
      </c>
      <c r="B222" s="4" t="str">
        <f>CONCATENATE(Weekly!C226," @",Weekly!A226,"_",Weekly!B226)</f>
        <v>Wipe down Sink @NB_Preschool Restroom</v>
      </c>
      <c r="C222" s="4" t="e">
        <f ca="1">CONCATENATE(Weekly!F226," / ",Weekly!G226)</f>
        <v>#NAME?</v>
      </c>
      <c r="E222" s="4">
        <v>1</v>
      </c>
      <c r="F222" s="4">
        <v>1</v>
      </c>
      <c r="G222" s="4" t="s">
        <v>194</v>
      </c>
      <c r="H222" s="4" t="str">
        <f>LOOKUP(Weekly!E226,Workers!A:A,Workers!B:B)</f>
        <v>Ryan (57174722)</v>
      </c>
      <c r="I222" s="4" t="e">
        <f ca="1">Weekly!M226</f>
        <v>#NAME?</v>
      </c>
      <c r="J222" s="4" t="s">
        <v>195</v>
      </c>
      <c r="K222" s="4" t="s">
        <v>196</v>
      </c>
    </row>
    <row r="223" spans="1:11" ht="15.75" customHeight="1" x14ac:dyDescent="0.25">
      <c r="A223" s="4" t="s">
        <v>193</v>
      </c>
      <c r="B223" s="4" t="str">
        <f>CONCATENATE(Weekly!C227," @",Weekly!A227,"_",Weekly!B227)</f>
        <v>Wipe down Toilets @NB_Preschool Restroom</v>
      </c>
      <c r="C223" s="4" t="e">
        <f ca="1">CONCATENATE(Weekly!F227," / ",Weekly!G227)</f>
        <v>#NAME?</v>
      </c>
      <c r="E223" s="4">
        <v>1</v>
      </c>
      <c r="F223" s="4">
        <v>1</v>
      </c>
      <c r="G223" s="4" t="s">
        <v>194</v>
      </c>
      <c r="H223" s="4" t="str">
        <f>LOOKUP(Weekly!E227,Workers!A:A,Workers!B:B)</f>
        <v>Ryan (57174722)</v>
      </c>
      <c r="I223" s="4" t="e">
        <f ca="1">Weekly!M227</f>
        <v>#NAME?</v>
      </c>
      <c r="J223" s="4" t="s">
        <v>195</v>
      </c>
      <c r="K223" s="4" t="s">
        <v>196</v>
      </c>
    </row>
    <row r="224" spans="1:11" ht="15.75" customHeight="1" x14ac:dyDescent="0.25">
      <c r="A224" s="4" t="s">
        <v>193</v>
      </c>
      <c r="B224" s="4" t="str">
        <f>CONCATENATE(Weekly!C228," @",Weekly!A228,"_",Weekly!B228)</f>
        <v>Empty Trash Bathroom @NB_Preschool Restroom</v>
      </c>
      <c r="C224" s="4" t="e">
        <f ca="1">CONCATENATE(Weekly!F228," / ",Weekly!G228)</f>
        <v>#NAME?</v>
      </c>
      <c r="E224" s="4">
        <v>1</v>
      </c>
      <c r="F224" s="4">
        <v>1</v>
      </c>
      <c r="G224" s="4" t="s">
        <v>194</v>
      </c>
      <c r="H224" s="4" t="str">
        <f>LOOKUP(Weekly!E228,Workers!A:A,Workers!B:B)</f>
        <v>Ryan (57174722)</v>
      </c>
      <c r="I224" s="4" t="e">
        <f ca="1">Weekly!M228</f>
        <v>#NAME?</v>
      </c>
      <c r="J224" s="4" t="s">
        <v>195</v>
      </c>
      <c r="K224" s="4" t="s">
        <v>196</v>
      </c>
    </row>
    <row r="225" spans="1:11" ht="15.75" customHeight="1" x14ac:dyDescent="0.25">
      <c r="A225" s="4" t="s">
        <v>193</v>
      </c>
      <c r="B225" s="4" t="str">
        <f>CONCATENATE(Weekly!C229," @",Weekly!A229,"_",Weekly!B229)</f>
        <v>Mop @NB_Women's North</v>
      </c>
      <c r="C225" s="4" t="e">
        <f ca="1">CONCATENATE(Weekly!F229," / ",Weekly!G229)</f>
        <v>#NAME?</v>
      </c>
      <c r="E225" s="4">
        <v>1</v>
      </c>
      <c r="F225" s="4">
        <v>1</v>
      </c>
      <c r="G225" s="4" t="s">
        <v>194</v>
      </c>
      <c r="H225" s="4" t="str">
        <f>LOOKUP(Weekly!E229,Workers!A:A,Workers!B:B)</f>
        <v>Ryan (57174722)</v>
      </c>
      <c r="I225" s="4" t="e">
        <f ca="1">Weekly!M229</f>
        <v>#NAME?</v>
      </c>
      <c r="J225" s="4" t="s">
        <v>195</v>
      </c>
      <c r="K225" s="4" t="s">
        <v>196</v>
      </c>
    </row>
    <row r="226" spans="1:11" ht="15.75" customHeight="1" x14ac:dyDescent="0.25">
      <c r="A226" s="4" t="s">
        <v>193</v>
      </c>
      <c r="B226" s="4" t="str">
        <f>CONCATENATE(Weekly!C230," @",Weekly!A230,"_",Weekly!B230)</f>
        <v>Scrub Sinks @NB_Women's North</v>
      </c>
      <c r="C226" s="4" t="e">
        <f ca="1">CONCATENATE(Weekly!F230," / ",Weekly!G230)</f>
        <v>#NAME?</v>
      </c>
      <c r="E226" s="4">
        <v>1</v>
      </c>
      <c r="F226" s="4">
        <v>1</v>
      </c>
      <c r="G226" s="4" t="s">
        <v>194</v>
      </c>
      <c r="H226" s="4" t="str">
        <f>LOOKUP(Weekly!E230,Workers!A:A,Workers!B:B)</f>
        <v>Ryan (57174722)</v>
      </c>
      <c r="I226" s="4" t="e">
        <f ca="1">Weekly!M230</f>
        <v>#NAME?</v>
      </c>
      <c r="J226" s="4" t="s">
        <v>195</v>
      </c>
      <c r="K226" s="4" t="s">
        <v>196</v>
      </c>
    </row>
    <row r="227" spans="1:11" ht="15.75" customHeight="1" x14ac:dyDescent="0.25">
      <c r="A227" s="4" t="s">
        <v>193</v>
      </c>
      <c r="B227" s="4" t="str">
        <f>CONCATENATE(Weekly!C231," @",Weekly!A231,"_",Weekly!B231)</f>
        <v>Scrub Toilets @NB_Women's North</v>
      </c>
      <c r="C227" s="4" t="e">
        <f ca="1">CONCATENATE(Weekly!F231," / ",Weekly!G231)</f>
        <v>#NAME?</v>
      </c>
      <c r="E227" s="4">
        <v>1</v>
      </c>
      <c r="F227" s="4">
        <v>1</v>
      </c>
      <c r="G227" s="4" t="s">
        <v>194</v>
      </c>
      <c r="H227" s="4" t="str">
        <f>LOOKUP(Weekly!E231,Workers!A:A,Workers!B:B)</f>
        <v>Ryan (57174722)</v>
      </c>
      <c r="I227" s="4" t="e">
        <f ca="1">Weekly!M231</f>
        <v>#NAME?</v>
      </c>
      <c r="J227" s="4" t="s">
        <v>195</v>
      </c>
      <c r="K227" s="4" t="s">
        <v>196</v>
      </c>
    </row>
    <row r="228" spans="1:11" ht="15.75" customHeight="1" x14ac:dyDescent="0.25">
      <c r="A228" s="4" t="s">
        <v>193</v>
      </c>
      <c r="B228" s="4" t="str">
        <f>CONCATENATE(Weekly!C232," @",Weekly!A232,"_",Weekly!B232)</f>
        <v>Spot Clean Mirrors @NB_Women's North</v>
      </c>
      <c r="C228" s="4" t="e">
        <f ca="1">CONCATENATE(Weekly!F232," / ",Weekly!G232)</f>
        <v>#NAME?</v>
      </c>
      <c r="E228" s="4">
        <v>1</v>
      </c>
      <c r="F228" s="4">
        <v>1</v>
      </c>
      <c r="G228" s="4" t="s">
        <v>194</v>
      </c>
      <c r="H228" s="4" t="str">
        <f>LOOKUP(Weekly!E232,Workers!A:A,Workers!B:B)</f>
        <v>Ryan (57174722)</v>
      </c>
      <c r="I228" s="4" t="e">
        <f ca="1">Weekly!M232</f>
        <v>#NAME?</v>
      </c>
      <c r="J228" s="4" t="s">
        <v>195</v>
      </c>
      <c r="K228" s="4" t="s">
        <v>196</v>
      </c>
    </row>
    <row r="229" spans="1:11" ht="15.75" customHeight="1" x14ac:dyDescent="0.25">
      <c r="A229" s="4" t="s">
        <v>193</v>
      </c>
      <c r="B229" s="4" t="str">
        <f>CONCATENATE(Weekly!C233," @",Weekly!A233,"_",Weekly!B233)</f>
        <v>Stock Bathroom Supplies @NB_Women's North</v>
      </c>
      <c r="C229" s="4" t="e">
        <f ca="1">CONCATENATE(Weekly!F233," / ",Weekly!G233)</f>
        <v>#NAME?</v>
      </c>
      <c r="E229" s="4">
        <v>1</v>
      </c>
      <c r="F229" s="4">
        <v>1</v>
      </c>
      <c r="G229" s="4" t="s">
        <v>194</v>
      </c>
      <c r="H229" s="4" t="str">
        <f>LOOKUP(Weekly!E233,Workers!A:A,Workers!B:B)</f>
        <v>Ryan (57174722)</v>
      </c>
      <c r="I229" s="4" t="e">
        <f ca="1">Weekly!M233</f>
        <v>#NAME?</v>
      </c>
      <c r="J229" s="4" t="s">
        <v>195</v>
      </c>
      <c r="K229" s="4" t="s">
        <v>196</v>
      </c>
    </row>
    <row r="230" spans="1:11" ht="15.75" customHeight="1" x14ac:dyDescent="0.25">
      <c r="A230" s="4" t="s">
        <v>193</v>
      </c>
      <c r="B230" s="4" t="str">
        <f>CONCATENATE(Weekly!C234," @",Weekly!A234,"_",Weekly!B234)</f>
        <v>Sweep @NB_Women's North</v>
      </c>
      <c r="C230" s="4" t="e">
        <f ca="1">CONCATENATE(Weekly!F234," / ",Weekly!G234)</f>
        <v>#NAME?</v>
      </c>
      <c r="E230" s="4">
        <v>1</v>
      </c>
      <c r="F230" s="4">
        <v>1</v>
      </c>
      <c r="G230" s="4" t="s">
        <v>194</v>
      </c>
      <c r="H230" s="4" t="str">
        <f>LOOKUP(Weekly!E234,Workers!A:A,Workers!B:B)</f>
        <v>Ryan (57174722)</v>
      </c>
      <c r="I230" s="4" t="e">
        <f ca="1">Weekly!M234</f>
        <v>#NAME?</v>
      </c>
      <c r="J230" s="4" t="s">
        <v>195</v>
      </c>
      <c r="K230" s="4" t="s">
        <v>196</v>
      </c>
    </row>
    <row r="231" spans="1:11" ht="15.75" customHeight="1" x14ac:dyDescent="0.25">
      <c r="A231" s="4" t="s">
        <v>193</v>
      </c>
      <c r="B231" s="4" t="str">
        <f>CONCATENATE(Weekly!C235," @",Weekly!A235,"_",Weekly!B235)</f>
        <v>Wipe down Counters @NB_Women's North</v>
      </c>
      <c r="C231" s="4" t="e">
        <f ca="1">CONCATENATE(Weekly!F235," / ",Weekly!G235)</f>
        <v>#NAME?</v>
      </c>
      <c r="E231" s="4">
        <v>1</v>
      </c>
      <c r="F231" s="4">
        <v>1</v>
      </c>
      <c r="G231" s="4" t="s">
        <v>194</v>
      </c>
      <c r="H231" s="4" t="str">
        <f>LOOKUP(Weekly!E235,Workers!A:A,Workers!B:B)</f>
        <v>Ryan (57174722)</v>
      </c>
      <c r="I231" s="4" t="e">
        <f ca="1">Weekly!M235</f>
        <v>#NAME?</v>
      </c>
      <c r="J231" s="4" t="s">
        <v>195</v>
      </c>
      <c r="K231" s="4" t="s">
        <v>196</v>
      </c>
    </row>
    <row r="232" spans="1:11" ht="15.75" customHeight="1" x14ac:dyDescent="0.25">
      <c r="A232" s="4" t="s">
        <v>193</v>
      </c>
      <c r="B232" s="4" t="str">
        <f>CONCATENATE(Weekly!C236," @",Weekly!A236,"_",Weekly!B236)</f>
        <v>Wipe down Sink @NB_Women's North</v>
      </c>
      <c r="C232" s="4" t="e">
        <f ca="1">CONCATENATE(Weekly!F236," / ",Weekly!G236)</f>
        <v>#NAME?</v>
      </c>
      <c r="E232" s="4">
        <v>1</v>
      </c>
      <c r="F232" s="4">
        <v>1</v>
      </c>
      <c r="G232" s="4" t="s">
        <v>194</v>
      </c>
      <c r="H232" s="4" t="str">
        <f>LOOKUP(Weekly!E236,Workers!A:A,Workers!B:B)</f>
        <v>Ryan (57174722)</v>
      </c>
      <c r="I232" s="4" t="e">
        <f ca="1">Weekly!M236</f>
        <v>#NAME?</v>
      </c>
      <c r="J232" s="4" t="s">
        <v>195</v>
      </c>
      <c r="K232" s="4" t="s">
        <v>196</v>
      </c>
    </row>
    <row r="233" spans="1:11" ht="15.75" customHeight="1" x14ac:dyDescent="0.25">
      <c r="A233" s="4" t="s">
        <v>193</v>
      </c>
      <c r="B233" s="4" t="str">
        <f>CONCATENATE(Weekly!C237," @",Weekly!A237,"_",Weekly!B237)</f>
        <v>Wipe down Toilets @NB_Women's North</v>
      </c>
      <c r="C233" s="4" t="e">
        <f ca="1">CONCATENATE(Weekly!F237," / ",Weekly!G237)</f>
        <v>#NAME?</v>
      </c>
      <c r="E233" s="4">
        <v>1</v>
      </c>
      <c r="F233" s="4">
        <v>1</v>
      </c>
      <c r="G233" s="4" t="s">
        <v>194</v>
      </c>
      <c r="H233" s="4" t="str">
        <f>LOOKUP(Weekly!E237,Workers!A:A,Workers!B:B)</f>
        <v>Ryan (57174722)</v>
      </c>
      <c r="I233" s="4" t="e">
        <f ca="1">Weekly!M237</f>
        <v>#NAME?</v>
      </c>
      <c r="J233" s="4" t="s">
        <v>195</v>
      </c>
      <c r="K233" s="4" t="s">
        <v>196</v>
      </c>
    </row>
    <row r="234" spans="1:11" ht="15.75" customHeight="1" x14ac:dyDescent="0.25">
      <c r="A234" s="4" t="s">
        <v>193</v>
      </c>
      <c r="B234" s="4" t="str">
        <f>CONCATENATE(Weekly!C238," @",Weekly!A238,"_",Weekly!B238)</f>
        <v>Empty Trash Bathroom @NB_Women's South</v>
      </c>
      <c r="C234" s="4" t="e">
        <f ca="1">CONCATENATE(Weekly!F238," / ",Weekly!G238)</f>
        <v>#NAME?</v>
      </c>
      <c r="E234" s="4">
        <v>1</v>
      </c>
      <c r="F234" s="4">
        <v>1</v>
      </c>
      <c r="G234" s="4" t="s">
        <v>194</v>
      </c>
      <c r="H234" s="4" t="str">
        <f>LOOKUP(Weekly!E238,Workers!A:A,Workers!B:B)</f>
        <v>Ryan (57174722)</v>
      </c>
      <c r="I234" s="4" t="e">
        <f ca="1">Weekly!M238</f>
        <v>#NAME?</v>
      </c>
      <c r="J234" s="4" t="s">
        <v>195</v>
      </c>
      <c r="K234" s="4" t="s">
        <v>196</v>
      </c>
    </row>
    <row r="235" spans="1:11" ht="15.75" customHeight="1" x14ac:dyDescent="0.25">
      <c r="A235" s="4" t="s">
        <v>193</v>
      </c>
      <c r="B235" s="4" t="str">
        <f>CONCATENATE(Weekly!C239," @",Weekly!A239,"_",Weekly!B239)</f>
        <v>Mop @NB_Women's South</v>
      </c>
      <c r="C235" s="4" t="e">
        <f ca="1">CONCATENATE(Weekly!F239," / ",Weekly!G239)</f>
        <v>#NAME?</v>
      </c>
      <c r="E235" s="4">
        <v>1</v>
      </c>
      <c r="F235" s="4">
        <v>1</v>
      </c>
      <c r="G235" s="4" t="s">
        <v>194</v>
      </c>
      <c r="H235" s="4" t="str">
        <f>LOOKUP(Weekly!E239,Workers!A:A,Workers!B:B)</f>
        <v>Ryan (57174722)</v>
      </c>
      <c r="I235" s="4" t="e">
        <f ca="1">Weekly!M239</f>
        <v>#NAME?</v>
      </c>
      <c r="J235" s="4" t="s">
        <v>195</v>
      </c>
      <c r="K235" s="4" t="s">
        <v>196</v>
      </c>
    </row>
    <row r="236" spans="1:11" ht="15.75" customHeight="1" x14ac:dyDescent="0.25">
      <c r="A236" s="4" t="s">
        <v>193</v>
      </c>
      <c r="B236" s="4" t="str">
        <f>CONCATENATE(Weekly!C240," @",Weekly!A240,"_",Weekly!B240)</f>
        <v>Scrub Sinks @NB_Women's South</v>
      </c>
      <c r="C236" s="4" t="e">
        <f ca="1">CONCATENATE(Weekly!F240," / ",Weekly!G240)</f>
        <v>#NAME?</v>
      </c>
      <c r="E236" s="4">
        <v>1</v>
      </c>
      <c r="F236" s="4">
        <v>1</v>
      </c>
      <c r="G236" s="4" t="s">
        <v>194</v>
      </c>
      <c r="H236" s="4" t="str">
        <f>LOOKUP(Weekly!E240,Workers!A:A,Workers!B:B)</f>
        <v>Ryan (57174722)</v>
      </c>
      <c r="I236" s="4" t="e">
        <f ca="1">Weekly!M240</f>
        <v>#NAME?</v>
      </c>
      <c r="J236" s="4" t="s">
        <v>195</v>
      </c>
      <c r="K236" s="4" t="s">
        <v>196</v>
      </c>
    </row>
    <row r="237" spans="1:11" ht="15.75" customHeight="1" x14ac:dyDescent="0.25">
      <c r="A237" s="4" t="s">
        <v>193</v>
      </c>
      <c r="B237" s="4" t="str">
        <f>CONCATENATE(Weekly!C241," @",Weekly!A241,"_",Weekly!B241)</f>
        <v>Scrub Toilets @NB_Women's South</v>
      </c>
      <c r="C237" s="4" t="e">
        <f ca="1">CONCATENATE(Weekly!F241," / ",Weekly!G241)</f>
        <v>#NAME?</v>
      </c>
      <c r="E237" s="4">
        <v>1</v>
      </c>
      <c r="F237" s="4">
        <v>1</v>
      </c>
      <c r="G237" s="4" t="s">
        <v>194</v>
      </c>
      <c r="H237" s="4" t="str">
        <f>LOOKUP(Weekly!E241,Workers!A:A,Workers!B:B)</f>
        <v>Ryan (57174722)</v>
      </c>
      <c r="I237" s="4" t="e">
        <f ca="1">Weekly!M241</f>
        <v>#NAME?</v>
      </c>
      <c r="J237" s="4" t="s">
        <v>195</v>
      </c>
      <c r="K237" s="4" t="s">
        <v>196</v>
      </c>
    </row>
    <row r="238" spans="1:11" ht="15.75" customHeight="1" x14ac:dyDescent="0.25">
      <c r="A238" s="4" t="s">
        <v>193</v>
      </c>
      <c r="B238" s="4" t="str">
        <f>CONCATENATE(Weekly!C242," @",Weekly!A242,"_",Weekly!B242)</f>
        <v>Spot Clean Mirrors @NB_Women's South</v>
      </c>
      <c r="C238" s="4" t="e">
        <f ca="1">CONCATENATE(Weekly!F242," / ",Weekly!G242)</f>
        <v>#NAME?</v>
      </c>
      <c r="E238" s="4">
        <v>1</v>
      </c>
      <c r="F238" s="4">
        <v>1</v>
      </c>
      <c r="G238" s="4" t="s">
        <v>194</v>
      </c>
      <c r="H238" s="4" t="str">
        <f>LOOKUP(Weekly!E242,Workers!A:A,Workers!B:B)</f>
        <v>Ryan (57174722)</v>
      </c>
      <c r="I238" s="4" t="e">
        <f ca="1">Weekly!M242</f>
        <v>#NAME?</v>
      </c>
      <c r="J238" s="4" t="s">
        <v>195</v>
      </c>
      <c r="K238" s="4" t="s">
        <v>196</v>
      </c>
    </row>
    <row r="239" spans="1:11" ht="15.75" customHeight="1" x14ac:dyDescent="0.25">
      <c r="A239" s="4" t="s">
        <v>193</v>
      </c>
      <c r="B239" s="4" t="str">
        <f>CONCATENATE(Weekly!C243," @",Weekly!A243,"_",Weekly!B243)</f>
        <v>Stock Bathroom Supplies @NB_Women's South</v>
      </c>
      <c r="C239" s="4" t="e">
        <f ca="1">CONCATENATE(Weekly!F243," / ",Weekly!G243)</f>
        <v>#NAME?</v>
      </c>
      <c r="E239" s="4">
        <v>1</v>
      </c>
      <c r="F239" s="4">
        <v>1</v>
      </c>
      <c r="G239" s="4" t="s">
        <v>194</v>
      </c>
      <c r="H239" s="4" t="str">
        <f>LOOKUP(Weekly!E243,Workers!A:A,Workers!B:B)</f>
        <v>Ryan (57174722)</v>
      </c>
      <c r="I239" s="4" t="e">
        <f ca="1">Weekly!M243</f>
        <v>#NAME?</v>
      </c>
      <c r="J239" s="4" t="s">
        <v>195</v>
      </c>
      <c r="K239" s="4" t="s">
        <v>196</v>
      </c>
    </row>
    <row r="240" spans="1:11" ht="15.75" customHeight="1" x14ac:dyDescent="0.25">
      <c r="A240" s="4" t="s">
        <v>193</v>
      </c>
      <c r="B240" s="4" t="str">
        <f>CONCATENATE(Weekly!C244," @",Weekly!A244,"_",Weekly!B244)</f>
        <v>Sweep @NB_Women's South</v>
      </c>
      <c r="C240" s="4" t="e">
        <f ca="1">CONCATENATE(Weekly!F244," / ",Weekly!G244)</f>
        <v>#NAME?</v>
      </c>
      <c r="E240" s="4">
        <v>1</v>
      </c>
      <c r="F240" s="4">
        <v>1</v>
      </c>
      <c r="G240" s="4" t="s">
        <v>194</v>
      </c>
      <c r="H240" s="4" t="str">
        <f>LOOKUP(Weekly!E244,Workers!A:A,Workers!B:B)</f>
        <v>Ryan (57174722)</v>
      </c>
      <c r="I240" s="4" t="e">
        <f ca="1">Weekly!M244</f>
        <v>#NAME?</v>
      </c>
      <c r="J240" s="4" t="s">
        <v>195</v>
      </c>
      <c r="K240" s="4" t="s">
        <v>196</v>
      </c>
    </row>
    <row r="241" spans="1:11" ht="15.75" customHeight="1" x14ac:dyDescent="0.25">
      <c r="A241" s="4" t="s">
        <v>193</v>
      </c>
      <c r="B241" s="4" t="str">
        <f>CONCATENATE(Weekly!C245," @",Weekly!A245,"_",Weekly!B245)</f>
        <v>Wipe down Counters @NB_Women's South</v>
      </c>
      <c r="C241" s="4" t="e">
        <f ca="1">CONCATENATE(Weekly!F245," / ",Weekly!G245)</f>
        <v>#NAME?</v>
      </c>
      <c r="E241" s="4">
        <v>1</v>
      </c>
      <c r="F241" s="4">
        <v>1</v>
      </c>
      <c r="G241" s="4" t="s">
        <v>194</v>
      </c>
      <c r="H241" s="4" t="str">
        <f>LOOKUP(Weekly!E245,Workers!A:A,Workers!B:B)</f>
        <v>Ryan (57174722)</v>
      </c>
      <c r="I241" s="4" t="e">
        <f ca="1">Weekly!M245</f>
        <v>#NAME?</v>
      </c>
      <c r="J241" s="4" t="s">
        <v>195</v>
      </c>
      <c r="K241" s="4" t="s">
        <v>196</v>
      </c>
    </row>
    <row r="242" spans="1:11" ht="15.75" customHeight="1" x14ac:dyDescent="0.25">
      <c r="A242" s="4" t="s">
        <v>193</v>
      </c>
      <c r="B242" s="4" t="str">
        <f>CONCATENATE(Weekly!C246," @",Weekly!A246,"_",Weekly!B246)</f>
        <v>Wipe down Sink @NB_Women's South</v>
      </c>
      <c r="C242" s="4" t="e">
        <f ca="1">CONCATENATE(Weekly!F246," / ",Weekly!G246)</f>
        <v>#NAME?</v>
      </c>
      <c r="E242" s="4">
        <v>1</v>
      </c>
      <c r="F242" s="4">
        <v>1</v>
      </c>
      <c r="G242" s="4" t="s">
        <v>194</v>
      </c>
      <c r="H242" s="4" t="str">
        <f>LOOKUP(Weekly!E246,Workers!A:A,Workers!B:B)</f>
        <v>Ryan (57174722)</v>
      </c>
      <c r="I242" s="4" t="e">
        <f ca="1">Weekly!M246</f>
        <v>#NAME?</v>
      </c>
      <c r="J242" s="4" t="s">
        <v>195</v>
      </c>
      <c r="K242" s="4" t="s">
        <v>196</v>
      </c>
    </row>
    <row r="243" spans="1:11" ht="15.75" customHeight="1" x14ac:dyDescent="0.25">
      <c r="A243" s="4" t="s">
        <v>193</v>
      </c>
      <c r="B243" s="4" t="str">
        <f>CONCATENATE(Weekly!C247," @",Weekly!A247,"_",Weekly!B247)</f>
        <v>Wipe down Toilets @NB_Women's South</v>
      </c>
      <c r="C243" s="4" t="e">
        <f ca="1">CONCATENATE(Weekly!F247," / ",Weekly!G247)</f>
        <v>#NAME?</v>
      </c>
      <c r="E243" s="4">
        <v>1</v>
      </c>
      <c r="F243" s="4">
        <v>1</v>
      </c>
      <c r="G243" s="4" t="s">
        <v>194</v>
      </c>
      <c r="H243" s="4" t="str">
        <f>LOOKUP(Weekly!E247,Workers!A:A,Workers!B:B)</f>
        <v>Ryan (57174722)</v>
      </c>
      <c r="I243" s="4" t="e">
        <f ca="1">Weekly!M247</f>
        <v>#NAME?</v>
      </c>
      <c r="J243" s="4" t="s">
        <v>195</v>
      </c>
      <c r="K243" s="4" t="s">
        <v>196</v>
      </c>
    </row>
    <row r="244" spans="1:11" ht="15.75" customHeight="1" x14ac:dyDescent="0.25">
      <c r="A244" s="4" t="s">
        <v>193</v>
      </c>
      <c r="B244" s="4" t="str">
        <f>CONCATENATE(Weekly!C248," @",Weekly!A248,"_",Weekly!B248)</f>
        <v>Empty Trash Bathroom @SB_Women's East</v>
      </c>
      <c r="C244" s="4" t="e">
        <f ca="1">CONCATENATE(Weekly!F248," / ",Weekly!G248)</f>
        <v>#NAME?</v>
      </c>
      <c r="E244" s="4">
        <v>1</v>
      </c>
      <c r="F244" s="4">
        <v>1</v>
      </c>
      <c r="G244" s="4" t="s">
        <v>194</v>
      </c>
      <c r="H244" s="4" t="str">
        <f>LOOKUP(Weekly!E248,Workers!A:A,Workers!B:B)</f>
        <v>Garrett (57173225)</v>
      </c>
      <c r="I244" s="4" t="e">
        <f ca="1">Weekly!M248</f>
        <v>#NAME?</v>
      </c>
      <c r="J244" s="4" t="s">
        <v>195</v>
      </c>
      <c r="K244" s="4" t="s">
        <v>196</v>
      </c>
    </row>
    <row r="245" spans="1:11" ht="15.75" customHeight="1" x14ac:dyDescent="0.25">
      <c r="A245" s="4" t="s">
        <v>193</v>
      </c>
      <c r="B245" s="4" t="str">
        <f>CONCATENATE(Weekly!C249," @",Weekly!A249,"_",Weekly!B249)</f>
        <v>Mop @SB_Women's East</v>
      </c>
      <c r="C245" s="4" t="e">
        <f ca="1">CONCATENATE(Weekly!F249," / ",Weekly!G249)</f>
        <v>#NAME?</v>
      </c>
      <c r="E245" s="4">
        <v>1</v>
      </c>
      <c r="F245" s="4">
        <v>1</v>
      </c>
      <c r="G245" s="4" t="s">
        <v>194</v>
      </c>
      <c r="H245" s="4" t="str">
        <f>LOOKUP(Weekly!E249,Workers!A:A,Workers!B:B)</f>
        <v>Ryan (57174722)</v>
      </c>
      <c r="I245" s="4" t="e">
        <f ca="1">Weekly!M249</f>
        <v>#NAME?</v>
      </c>
      <c r="J245" s="4" t="s">
        <v>195</v>
      </c>
      <c r="K245" s="4" t="s">
        <v>196</v>
      </c>
    </row>
    <row r="246" spans="1:11" ht="15.75" customHeight="1" x14ac:dyDescent="0.25">
      <c r="A246" s="4" t="s">
        <v>193</v>
      </c>
      <c r="B246" s="4" t="str">
        <f>CONCATENATE(Weekly!C250," @",Weekly!A250,"_",Weekly!B250)</f>
        <v>Scrub Toilets @SB_Women's East</v>
      </c>
      <c r="C246" s="4" t="e">
        <f ca="1">CONCATENATE(Weekly!F250," / ",Weekly!G250)</f>
        <v>#NAME?</v>
      </c>
      <c r="E246" s="4">
        <v>1</v>
      </c>
      <c r="F246" s="4">
        <v>1</v>
      </c>
      <c r="G246" s="4" t="s">
        <v>194</v>
      </c>
      <c r="H246" s="4" t="str">
        <f>LOOKUP(Weekly!E250,Workers!A:A,Workers!B:B)</f>
        <v>Ryan (57174722)</v>
      </c>
      <c r="I246" s="4" t="e">
        <f ca="1">Weekly!M250</f>
        <v>#NAME?</v>
      </c>
      <c r="J246" s="4" t="s">
        <v>195</v>
      </c>
      <c r="K246" s="4" t="s">
        <v>196</v>
      </c>
    </row>
    <row r="247" spans="1:11" ht="15.75" customHeight="1" x14ac:dyDescent="0.25">
      <c r="A247" s="4" t="s">
        <v>193</v>
      </c>
      <c r="B247" s="4" t="str">
        <f>CONCATENATE(Weekly!C251," @",Weekly!A251,"_",Weekly!B251)</f>
        <v>Spot Clean Mirrors @SB_Women's East</v>
      </c>
      <c r="C247" s="4" t="e">
        <f ca="1">CONCATENATE(Weekly!F251," / ",Weekly!G251)</f>
        <v>#NAME?</v>
      </c>
      <c r="E247" s="4">
        <v>1</v>
      </c>
      <c r="F247" s="4">
        <v>1</v>
      </c>
      <c r="G247" s="4" t="s">
        <v>194</v>
      </c>
      <c r="H247" s="4" t="str">
        <f>LOOKUP(Weekly!E251,Workers!A:A,Workers!B:B)</f>
        <v>Ryan (57174722)</v>
      </c>
      <c r="I247" s="4" t="e">
        <f ca="1">Weekly!M251</f>
        <v>#NAME?</v>
      </c>
      <c r="J247" s="4" t="s">
        <v>195</v>
      </c>
      <c r="K247" s="4" t="s">
        <v>196</v>
      </c>
    </row>
    <row r="248" spans="1:11" ht="15.75" customHeight="1" x14ac:dyDescent="0.25">
      <c r="A248" s="4" t="s">
        <v>193</v>
      </c>
      <c r="B248" s="4" t="str">
        <f>CONCATENATE(Weekly!C252," @",Weekly!A252,"_",Weekly!B252)</f>
        <v>Stock Bathroom Supplies @SB_Women's East</v>
      </c>
      <c r="C248" s="4" t="e">
        <f ca="1">CONCATENATE(Weekly!F252," / ",Weekly!G252)</f>
        <v>#NAME?</v>
      </c>
      <c r="E248" s="4">
        <v>1</v>
      </c>
      <c r="F248" s="4">
        <v>1</v>
      </c>
      <c r="G248" s="4" t="s">
        <v>194</v>
      </c>
      <c r="H248" s="4" t="str">
        <f>LOOKUP(Weekly!E252,Workers!A:A,Workers!B:B)</f>
        <v>Garrett (57173225)</v>
      </c>
      <c r="I248" s="4" t="e">
        <f ca="1">Weekly!M252</f>
        <v>#NAME?</v>
      </c>
      <c r="J248" s="4" t="s">
        <v>195</v>
      </c>
      <c r="K248" s="4" t="s">
        <v>196</v>
      </c>
    </row>
    <row r="249" spans="1:11" ht="15.75" customHeight="1" x14ac:dyDescent="0.25">
      <c r="A249" s="4" t="s">
        <v>193</v>
      </c>
      <c r="B249" s="4" t="str">
        <f>CONCATENATE(Weekly!C253," @",Weekly!A253,"_",Weekly!B253)</f>
        <v>Sweep @SB_Women's East</v>
      </c>
      <c r="C249" s="4" t="e">
        <f ca="1">CONCATENATE(Weekly!F253," / ",Weekly!G253)</f>
        <v>#NAME?</v>
      </c>
      <c r="E249" s="4">
        <v>1</v>
      </c>
      <c r="F249" s="4">
        <v>1</v>
      </c>
      <c r="G249" s="4" t="s">
        <v>194</v>
      </c>
      <c r="H249" s="4" t="str">
        <f>LOOKUP(Weekly!E253,Workers!A:A,Workers!B:B)</f>
        <v>Garrett (57173225)</v>
      </c>
      <c r="I249" s="4" t="e">
        <f ca="1">Weekly!M253</f>
        <v>#NAME?</v>
      </c>
      <c r="J249" s="4" t="s">
        <v>195</v>
      </c>
      <c r="K249" s="4" t="s">
        <v>196</v>
      </c>
    </row>
    <row r="250" spans="1:11" ht="15.75" customHeight="1" x14ac:dyDescent="0.25">
      <c r="A250" s="4" t="s">
        <v>193</v>
      </c>
      <c r="B250" s="4" t="str">
        <f>CONCATENATE(Weekly!C254," @",Weekly!A254,"_",Weekly!B254)</f>
        <v>Wipe down Sink @SB_Women's East</v>
      </c>
      <c r="C250" s="4" t="e">
        <f ca="1">CONCATENATE(Weekly!F254," / ",Weekly!G254)</f>
        <v>#NAME?</v>
      </c>
      <c r="E250" s="4">
        <v>1</v>
      </c>
      <c r="F250" s="4">
        <v>1</v>
      </c>
      <c r="G250" s="4" t="s">
        <v>194</v>
      </c>
      <c r="H250" s="4" t="str">
        <f>LOOKUP(Weekly!E254,Workers!A:A,Workers!B:B)</f>
        <v>Garrett (57173225)</v>
      </c>
      <c r="I250" s="4" t="e">
        <f ca="1">Weekly!M254</f>
        <v>#NAME?</v>
      </c>
      <c r="J250" s="4" t="s">
        <v>195</v>
      </c>
      <c r="K250" s="4" t="s">
        <v>196</v>
      </c>
    </row>
    <row r="251" spans="1:11" ht="15.75" customHeight="1" x14ac:dyDescent="0.25">
      <c r="A251" s="4" t="s">
        <v>193</v>
      </c>
      <c r="B251" s="4" t="str">
        <f>CONCATENATE(Weekly!C255," @",Weekly!A255,"_",Weekly!B255)</f>
        <v>Wipe down Toilets @SB_Women's East</v>
      </c>
      <c r="C251" s="4" t="e">
        <f ca="1">CONCATENATE(Weekly!F255," / ",Weekly!G255)</f>
        <v>#NAME?</v>
      </c>
      <c r="E251" s="4">
        <v>1</v>
      </c>
      <c r="F251" s="4">
        <v>1</v>
      </c>
      <c r="G251" s="4" t="s">
        <v>194</v>
      </c>
      <c r="H251" s="4" t="str">
        <f>LOOKUP(Weekly!E255,Workers!A:A,Workers!B:B)</f>
        <v>Garrett (57173225)</v>
      </c>
      <c r="I251" s="4" t="e">
        <f ca="1">Weekly!M255</f>
        <v>#NAME?</v>
      </c>
      <c r="J251" s="4" t="s">
        <v>195</v>
      </c>
      <c r="K251" s="4" t="s">
        <v>196</v>
      </c>
    </row>
    <row r="252" spans="1:11" ht="15.75" customHeight="1" x14ac:dyDescent="0.25">
      <c r="A252" s="4" t="s">
        <v>193</v>
      </c>
      <c r="B252" s="4" t="str">
        <f>CONCATENATE(Weekly!C256," @",Weekly!A256,"_",Weekly!B256)</f>
        <v>Disinfect Changing Table @NB_Women's Up</v>
      </c>
      <c r="C252" s="4" t="e">
        <f ca="1">CONCATENATE(Weekly!F256," / ",Weekly!G256)</f>
        <v>#NAME?</v>
      </c>
      <c r="E252" s="4">
        <v>1</v>
      </c>
      <c r="F252" s="4">
        <v>1</v>
      </c>
      <c r="G252" s="4" t="s">
        <v>194</v>
      </c>
      <c r="H252" s="4" t="str">
        <f>LOOKUP(Weekly!E256,Workers!A:A,Workers!B:B)</f>
        <v>Ryan (57174722)</v>
      </c>
      <c r="I252" s="4" t="e">
        <f ca="1">Weekly!M256</f>
        <v>#NAME?</v>
      </c>
      <c r="J252" s="4" t="s">
        <v>195</v>
      </c>
      <c r="K252" s="4" t="s">
        <v>196</v>
      </c>
    </row>
    <row r="253" spans="1:11" ht="15.75" customHeight="1" x14ac:dyDescent="0.25">
      <c r="A253" s="4" t="s">
        <v>193</v>
      </c>
      <c r="B253" s="4" t="str">
        <f>CONCATENATE(Weekly!C257," @",Weekly!A257,"_",Weekly!B257)</f>
        <v>Empty Trash Bathroom @NB_Women's Up</v>
      </c>
      <c r="C253" s="4" t="e">
        <f ca="1">CONCATENATE(Weekly!F257," / ",Weekly!G257)</f>
        <v>#NAME?</v>
      </c>
      <c r="E253" s="4">
        <v>1</v>
      </c>
      <c r="F253" s="4">
        <v>1</v>
      </c>
      <c r="G253" s="4" t="s">
        <v>194</v>
      </c>
      <c r="H253" s="4" t="str">
        <f>LOOKUP(Weekly!E257,Workers!A:A,Workers!B:B)</f>
        <v>Ryan (57174722)</v>
      </c>
      <c r="I253" s="4" t="e">
        <f ca="1">Weekly!M257</f>
        <v>#NAME?</v>
      </c>
      <c r="J253" s="4" t="s">
        <v>195</v>
      </c>
      <c r="K253" s="4" t="s">
        <v>196</v>
      </c>
    </row>
    <row r="254" spans="1:11" ht="15.75" customHeight="1" x14ac:dyDescent="0.25">
      <c r="A254" s="4" t="s">
        <v>193</v>
      </c>
      <c r="B254" s="4" t="str">
        <f>CONCATENATE(Weekly!C258," @",Weekly!A258,"_",Weekly!B258)</f>
        <v>Mop @NB_Women's Up</v>
      </c>
      <c r="C254" s="4" t="e">
        <f ca="1">CONCATENATE(Weekly!F258," / ",Weekly!G258)</f>
        <v>#NAME?</v>
      </c>
      <c r="E254" s="4">
        <v>1</v>
      </c>
      <c r="F254" s="4">
        <v>1</v>
      </c>
      <c r="G254" s="4" t="s">
        <v>194</v>
      </c>
      <c r="H254" s="4" t="str">
        <f>LOOKUP(Weekly!E258,Workers!A:A,Workers!B:B)</f>
        <v>Ryan (57174722)</v>
      </c>
      <c r="I254" s="4" t="e">
        <f ca="1">Weekly!M258</f>
        <v>#NAME?</v>
      </c>
      <c r="J254" s="4" t="s">
        <v>195</v>
      </c>
      <c r="K254" s="4" t="s">
        <v>196</v>
      </c>
    </row>
    <row r="255" spans="1:11" ht="15.75" customHeight="1" x14ac:dyDescent="0.25">
      <c r="A255" s="4" t="s">
        <v>193</v>
      </c>
      <c r="B255" s="4" t="str">
        <f>CONCATENATE(Weekly!C259," @",Weekly!A259,"_",Weekly!B259)</f>
        <v>Scrub Sinks @NB_Women's Up</v>
      </c>
      <c r="C255" s="4" t="e">
        <f ca="1">CONCATENATE(Weekly!F259," / ",Weekly!G259)</f>
        <v>#NAME?</v>
      </c>
      <c r="E255" s="4">
        <v>1</v>
      </c>
      <c r="F255" s="4">
        <v>1</v>
      </c>
      <c r="G255" s="4" t="s">
        <v>194</v>
      </c>
      <c r="H255" s="4" t="str">
        <f>LOOKUP(Weekly!E259,Workers!A:A,Workers!B:B)</f>
        <v>Ryan (57174722)</v>
      </c>
      <c r="I255" s="4" t="e">
        <f ca="1">Weekly!M259</f>
        <v>#NAME?</v>
      </c>
      <c r="J255" s="4" t="s">
        <v>195</v>
      </c>
      <c r="K255" s="4" t="s">
        <v>196</v>
      </c>
    </row>
    <row r="256" spans="1:11" ht="15.75" customHeight="1" x14ac:dyDescent="0.25">
      <c r="A256" s="4" t="s">
        <v>193</v>
      </c>
      <c r="B256" s="4" t="str">
        <f>CONCATENATE(Weekly!C260," @",Weekly!A260,"_",Weekly!B260)</f>
        <v>Scrub Toilets @NB_Women's Up</v>
      </c>
      <c r="C256" s="4" t="e">
        <f ca="1">CONCATENATE(Weekly!F260," / ",Weekly!G260)</f>
        <v>#NAME?</v>
      </c>
      <c r="E256" s="4">
        <v>1</v>
      </c>
      <c r="F256" s="4">
        <v>1</v>
      </c>
      <c r="G256" s="4" t="s">
        <v>194</v>
      </c>
      <c r="H256" s="4" t="str">
        <f>LOOKUP(Weekly!E260,Workers!A:A,Workers!B:B)</f>
        <v>Ryan (57174722)</v>
      </c>
      <c r="I256" s="4" t="e">
        <f ca="1">Weekly!M260</f>
        <v>#NAME?</v>
      </c>
      <c r="J256" s="4" t="s">
        <v>195</v>
      </c>
      <c r="K256" s="4" t="s">
        <v>196</v>
      </c>
    </row>
    <row r="257" spans="1:11" ht="15.75" customHeight="1" x14ac:dyDescent="0.25">
      <c r="A257" s="4" t="s">
        <v>193</v>
      </c>
      <c r="B257" s="4" t="str">
        <f>CONCATENATE(Weekly!C261," @",Weekly!A261,"_",Weekly!B261)</f>
        <v>Spot Clean Mirrors @NB_Women's Up</v>
      </c>
      <c r="C257" s="4" t="e">
        <f ca="1">CONCATENATE(Weekly!F261," / ",Weekly!G261)</f>
        <v>#NAME?</v>
      </c>
      <c r="E257" s="4">
        <v>1</v>
      </c>
      <c r="F257" s="4">
        <v>1</v>
      </c>
      <c r="G257" s="4" t="s">
        <v>194</v>
      </c>
      <c r="H257" s="4" t="str">
        <f>LOOKUP(Weekly!E261,Workers!A:A,Workers!B:B)</f>
        <v>Ryan (57174722)</v>
      </c>
      <c r="I257" s="4" t="e">
        <f ca="1">Weekly!M261</f>
        <v>#NAME?</v>
      </c>
      <c r="J257" s="4" t="s">
        <v>195</v>
      </c>
      <c r="K257" s="4" t="s">
        <v>196</v>
      </c>
    </row>
    <row r="258" spans="1:11" ht="15.75" customHeight="1" x14ac:dyDescent="0.25">
      <c r="A258" s="4" t="s">
        <v>193</v>
      </c>
      <c r="B258" s="4" t="str">
        <f>CONCATENATE(Weekly!C262," @",Weekly!A262,"_",Weekly!B262)</f>
        <v>Stock Bathroom Supplies @NB_Women's Up</v>
      </c>
      <c r="C258" s="4" t="e">
        <f ca="1">CONCATENATE(Weekly!F262," / ",Weekly!G262)</f>
        <v>#NAME?</v>
      </c>
      <c r="E258" s="4">
        <v>1</v>
      </c>
      <c r="F258" s="4">
        <v>1</v>
      </c>
      <c r="G258" s="4" t="s">
        <v>194</v>
      </c>
      <c r="H258" s="4" t="str">
        <f>LOOKUP(Weekly!E262,Workers!A:A,Workers!B:B)</f>
        <v>Ryan (57174722)</v>
      </c>
      <c r="I258" s="4" t="e">
        <f ca="1">Weekly!M262</f>
        <v>#NAME?</v>
      </c>
      <c r="J258" s="4" t="s">
        <v>195</v>
      </c>
      <c r="K258" s="4" t="s">
        <v>196</v>
      </c>
    </row>
    <row r="259" spans="1:11" ht="15.75" customHeight="1" x14ac:dyDescent="0.25">
      <c r="A259" s="4" t="s">
        <v>193</v>
      </c>
      <c r="B259" s="4" t="str">
        <f>CONCATENATE(Weekly!C263," @",Weekly!A263,"_",Weekly!B263)</f>
        <v>Sweep @NB_Women's Up</v>
      </c>
      <c r="C259" s="4" t="e">
        <f ca="1">CONCATENATE(Weekly!F263," / ",Weekly!G263)</f>
        <v>#NAME?</v>
      </c>
      <c r="E259" s="4">
        <v>1</v>
      </c>
      <c r="F259" s="4">
        <v>1</v>
      </c>
      <c r="G259" s="4" t="s">
        <v>194</v>
      </c>
      <c r="H259" s="4" t="str">
        <f>LOOKUP(Weekly!E263,Workers!A:A,Workers!B:B)</f>
        <v>Ryan (57174722)</v>
      </c>
      <c r="I259" s="4" t="e">
        <f ca="1">Weekly!M263</f>
        <v>#NAME?</v>
      </c>
      <c r="J259" s="4" t="s">
        <v>195</v>
      </c>
      <c r="K259" s="4" t="s">
        <v>196</v>
      </c>
    </row>
    <row r="260" spans="1:11" ht="15.75" customHeight="1" x14ac:dyDescent="0.25">
      <c r="A260" s="4" t="s">
        <v>193</v>
      </c>
      <c r="B260" s="4" t="str">
        <f>CONCATENATE(Weekly!C264," @",Weekly!A264,"_",Weekly!B264)</f>
        <v>Wipe down Counters @NB_Women's Up</v>
      </c>
      <c r="C260" s="4" t="e">
        <f ca="1">CONCATENATE(Weekly!F264," / ",Weekly!G264)</f>
        <v>#NAME?</v>
      </c>
      <c r="E260" s="4">
        <v>1</v>
      </c>
      <c r="F260" s="4">
        <v>1</v>
      </c>
      <c r="G260" s="4" t="s">
        <v>194</v>
      </c>
      <c r="H260" s="4" t="str">
        <f>LOOKUP(Weekly!E264,Workers!A:A,Workers!B:B)</f>
        <v>Ryan (57174722)</v>
      </c>
      <c r="I260" s="4" t="e">
        <f ca="1">Weekly!M264</f>
        <v>#NAME?</v>
      </c>
      <c r="J260" s="4" t="s">
        <v>195</v>
      </c>
      <c r="K260" s="4" t="s">
        <v>196</v>
      </c>
    </row>
    <row r="261" spans="1:11" ht="15.75" customHeight="1" x14ac:dyDescent="0.25">
      <c r="A261" s="4" t="s">
        <v>193</v>
      </c>
      <c r="B261" s="4" t="str">
        <f>CONCATENATE(Weekly!C265," @",Weekly!A265,"_",Weekly!B265)</f>
        <v>Wipe down Sink @NB_Women's Up</v>
      </c>
      <c r="C261" s="4" t="e">
        <f ca="1">CONCATENATE(Weekly!F265," / ",Weekly!G265)</f>
        <v>#NAME?</v>
      </c>
      <c r="E261" s="4">
        <v>1</v>
      </c>
      <c r="F261" s="4">
        <v>1</v>
      </c>
      <c r="G261" s="4" t="s">
        <v>194</v>
      </c>
      <c r="H261" s="4" t="str">
        <f>LOOKUP(Weekly!E265,Workers!A:A,Workers!B:B)</f>
        <v>Ryan (57174722)</v>
      </c>
      <c r="I261" s="4" t="e">
        <f ca="1">Weekly!M265</f>
        <v>#NAME?</v>
      </c>
      <c r="J261" s="4" t="s">
        <v>195</v>
      </c>
      <c r="K261" s="4" t="s">
        <v>196</v>
      </c>
    </row>
    <row r="262" spans="1:11" ht="15.75" customHeight="1" x14ac:dyDescent="0.25">
      <c r="A262" s="4" t="s">
        <v>193</v>
      </c>
      <c r="B262" s="4" t="str">
        <f>CONCATENATE(Weekly!C266," @",Weekly!A266,"_",Weekly!B266)</f>
        <v>Wipe down Toilets @NB_Women's Up</v>
      </c>
      <c r="C262" s="4" t="e">
        <f ca="1">CONCATENATE(Weekly!F266," / ",Weekly!G266)</f>
        <v>#NAME?</v>
      </c>
      <c r="E262" s="4">
        <v>1</v>
      </c>
      <c r="F262" s="4">
        <v>1</v>
      </c>
      <c r="G262" s="4" t="s">
        <v>194</v>
      </c>
      <c r="H262" s="4" t="str">
        <f>LOOKUP(Weekly!E266,Workers!A:A,Workers!B:B)</f>
        <v>Ryan (57174722)</v>
      </c>
      <c r="I262" s="4" t="e">
        <f ca="1">Weekly!M266</f>
        <v>#NAME?</v>
      </c>
      <c r="J262" s="4" t="s">
        <v>195</v>
      </c>
      <c r="K262" s="4" t="s">
        <v>196</v>
      </c>
    </row>
    <row r="263" spans="1:11" ht="15.75" customHeight="1" x14ac:dyDescent="0.25">
      <c r="A263" s="4" t="s">
        <v>193</v>
      </c>
      <c r="B263" s="4" t="str">
        <f>CONCATENATE(Weekly!C267," @",Weekly!A267,"_",Weekly!B267)</f>
        <v>Empty Trash Bathroom @SB_Women's West</v>
      </c>
      <c r="C263" s="4" t="e">
        <f ca="1">CONCATENATE(Weekly!F267," / ",Weekly!G267)</f>
        <v>#NAME?</v>
      </c>
      <c r="E263" s="4">
        <v>1</v>
      </c>
      <c r="F263" s="4">
        <v>1</v>
      </c>
      <c r="G263" s="4" t="s">
        <v>194</v>
      </c>
      <c r="H263" s="4" t="str">
        <f>LOOKUP(Weekly!E267,Workers!A:A,Workers!B:B)</f>
        <v>Garrett (57173225)</v>
      </c>
      <c r="I263" s="4" t="e">
        <f ca="1">Weekly!M267</f>
        <v>#NAME?</v>
      </c>
      <c r="J263" s="4" t="s">
        <v>195</v>
      </c>
      <c r="K263" s="4" t="s">
        <v>196</v>
      </c>
    </row>
    <row r="264" spans="1:11" ht="15.75" customHeight="1" x14ac:dyDescent="0.25">
      <c r="A264" s="4" t="s">
        <v>193</v>
      </c>
      <c r="B264" s="4" t="str">
        <f>CONCATENATE(Weekly!C268," @",Weekly!A268,"_",Weekly!B268)</f>
        <v>Mop @SB_Women's West</v>
      </c>
      <c r="C264" s="4" t="e">
        <f ca="1">CONCATENATE(Weekly!F268," / ",Weekly!G268)</f>
        <v>#NAME?</v>
      </c>
      <c r="E264" s="4">
        <v>1</v>
      </c>
      <c r="F264" s="4">
        <v>1</v>
      </c>
      <c r="G264" s="4" t="s">
        <v>194</v>
      </c>
      <c r="H264" s="4" t="str">
        <f>LOOKUP(Weekly!E268,Workers!A:A,Workers!B:B)</f>
        <v>Ryan (57174722)</v>
      </c>
      <c r="I264" s="4" t="e">
        <f ca="1">Weekly!M268</f>
        <v>#NAME?</v>
      </c>
      <c r="J264" s="4" t="s">
        <v>195</v>
      </c>
      <c r="K264" s="4" t="s">
        <v>196</v>
      </c>
    </row>
    <row r="265" spans="1:11" ht="15.75" customHeight="1" x14ac:dyDescent="0.25">
      <c r="A265" s="4" t="s">
        <v>193</v>
      </c>
      <c r="B265" s="4" t="str">
        <f>CONCATENATE(Weekly!C269," @",Weekly!A269,"_",Weekly!B269)</f>
        <v>Scrub Toilets @SB_Women's West</v>
      </c>
      <c r="C265" s="4" t="e">
        <f ca="1">CONCATENATE(Weekly!F269," / ",Weekly!G269)</f>
        <v>#NAME?</v>
      </c>
      <c r="E265" s="4">
        <v>1</v>
      </c>
      <c r="F265" s="4">
        <v>1</v>
      </c>
      <c r="G265" s="4" t="s">
        <v>194</v>
      </c>
      <c r="H265" s="4" t="str">
        <f>LOOKUP(Weekly!E269,Workers!A:A,Workers!B:B)</f>
        <v>Ryan (57174722)</v>
      </c>
      <c r="I265" s="4" t="e">
        <f ca="1">Weekly!M269</f>
        <v>#NAME?</v>
      </c>
      <c r="J265" s="4" t="s">
        <v>195</v>
      </c>
      <c r="K265" s="4" t="s">
        <v>196</v>
      </c>
    </row>
    <row r="266" spans="1:11" ht="15.75" customHeight="1" x14ac:dyDescent="0.25">
      <c r="A266" s="4" t="s">
        <v>193</v>
      </c>
      <c r="B266" s="4" t="str">
        <f>CONCATENATE(Weekly!C270," @",Weekly!A270,"_",Weekly!B270)</f>
        <v>Spot Clean Mirrors @SB_Women's West</v>
      </c>
      <c r="C266" s="4" t="e">
        <f ca="1">CONCATENATE(Weekly!F270," / ",Weekly!G270)</f>
        <v>#NAME?</v>
      </c>
      <c r="E266" s="4">
        <v>1</v>
      </c>
      <c r="F266" s="4">
        <v>1</v>
      </c>
      <c r="G266" s="4" t="s">
        <v>194</v>
      </c>
      <c r="H266" s="4" t="str">
        <f>LOOKUP(Weekly!E270,Workers!A:A,Workers!B:B)</f>
        <v>Ryan (57174722)</v>
      </c>
      <c r="I266" s="4" t="e">
        <f ca="1">Weekly!M270</f>
        <v>#NAME?</v>
      </c>
      <c r="J266" s="4" t="s">
        <v>195</v>
      </c>
      <c r="K266" s="4" t="s">
        <v>196</v>
      </c>
    </row>
    <row r="267" spans="1:11" ht="15.75" customHeight="1" x14ac:dyDescent="0.25">
      <c r="A267" s="4" t="s">
        <v>193</v>
      </c>
      <c r="B267" s="4" t="str">
        <f>CONCATENATE(Weekly!C271," @",Weekly!A271,"_",Weekly!B271)</f>
        <v>Stock Bathroom Supplies @SB_Women's West</v>
      </c>
      <c r="C267" s="4" t="e">
        <f ca="1">CONCATENATE(Weekly!F271," / ",Weekly!G271)</f>
        <v>#NAME?</v>
      </c>
      <c r="E267" s="4">
        <v>1</v>
      </c>
      <c r="F267" s="4">
        <v>1</v>
      </c>
      <c r="G267" s="4" t="s">
        <v>194</v>
      </c>
      <c r="H267" s="4" t="str">
        <f>LOOKUP(Weekly!E271,Workers!A:A,Workers!B:B)</f>
        <v>Garrett (57173225)</v>
      </c>
      <c r="I267" s="4" t="e">
        <f ca="1">Weekly!M271</f>
        <v>#NAME?</v>
      </c>
      <c r="J267" s="4" t="s">
        <v>195</v>
      </c>
      <c r="K267" s="4" t="s">
        <v>196</v>
      </c>
    </row>
    <row r="268" spans="1:11" ht="15.75" customHeight="1" x14ac:dyDescent="0.25">
      <c r="A268" s="4" t="s">
        <v>193</v>
      </c>
      <c r="B268" s="4" t="str">
        <f>CONCATENATE(Weekly!C272," @",Weekly!A272,"_",Weekly!B272)</f>
        <v>Sweep @SB_Women's West</v>
      </c>
      <c r="C268" s="4" t="e">
        <f ca="1">CONCATENATE(Weekly!F272," / ",Weekly!G272)</f>
        <v>#NAME?</v>
      </c>
      <c r="E268" s="4">
        <v>1</v>
      </c>
      <c r="F268" s="4">
        <v>1</v>
      </c>
      <c r="G268" s="4" t="s">
        <v>194</v>
      </c>
      <c r="H268" s="4" t="str">
        <f>LOOKUP(Weekly!E272,Workers!A:A,Workers!B:B)</f>
        <v>Garrett (57173225)</v>
      </c>
      <c r="I268" s="4" t="e">
        <f ca="1">Weekly!M272</f>
        <v>#NAME?</v>
      </c>
      <c r="J268" s="4" t="s">
        <v>195</v>
      </c>
      <c r="K268" s="4" t="s">
        <v>196</v>
      </c>
    </row>
    <row r="269" spans="1:11" ht="15.75" customHeight="1" x14ac:dyDescent="0.25">
      <c r="A269" s="4" t="s">
        <v>193</v>
      </c>
      <c r="B269" s="4" t="str">
        <f>CONCATENATE(Weekly!C273," @",Weekly!A273,"_",Weekly!B273)</f>
        <v>Wipe down Sink @SB_Women's West</v>
      </c>
      <c r="C269" s="4" t="e">
        <f ca="1">CONCATENATE(Weekly!F273," / ",Weekly!G273)</f>
        <v>#NAME?</v>
      </c>
      <c r="E269" s="4">
        <v>1</v>
      </c>
      <c r="F269" s="4">
        <v>1</v>
      </c>
      <c r="G269" s="4" t="s">
        <v>194</v>
      </c>
      <c r="H269" s="4" t="str">
        <f>LOOKUP(Weekly!E273,Workers!A:A,Workers!B:B)</f>
        <v>Garrett (57173225)</v>
      </c>
      <c r="I269" s="4" t="e">
        <f ca="1">Weekly!M273</f>
        <v>#NAME?</v>
      </c>
      <c r="J269" s="4" t="s">
        <v>195</v>
      </c>
      <c r="K269" s="4" t="s">
        <v>196</v>
      </c>
    </row>
    <row r="270" spans="1:11" ht="15.75" customHeight="1" x14ac:dyDescent="0.25">
      <c r="A270" s="4" t="s">
        <v>193</v>
      </c>
      <c r="B270" s="4" t="str">
        <f>CONCATENATE(Weekly!C274," @",Weekly!A274,"_",Weekly!B274)</f>
        <v>Wipe down Toilets @SB_Women's West</v>
      </c>
      <c r="C270" s="4" t="e">
        <f ca="1">CONCATENATE(Weekly!F274," / ",Weekly!G274)</f>
        <v>#NAME?</v>
      </c>
      <c r="E270" s="4">
        <v>1</v>
      </c>
      <c r="F270" s="4">
        <v>1</v>
      </c>
      <c r="G270" s="4" t="s">
        <v>194</v>
      </c>
      <c r="H270" s="4" t="str">
        <f>LOOKUP(Weekly!E274,Workers!A:A,Workers!B:B)</f>
        <v>Garrett (57173225)</v>
      </c>
      <c r="I270" s="4" t="e">
        <f ca="1">Weekly!M274</f>
        <v>#NAME?</v>
      </c>
      <c r="J270" s="4" t="s">
        <v>195</v>
      </c>
      <c r="K270" s="4" t="s">
        <v>196</v>
      </c>
    </row>
    <row r="271" spans="1:11" ht="15.75" customHeight="1" x14ac:dyDescent="0.25">
      <c r="A271" s="4" t="s">
        <v>193</v>
      </c>
      <c r="B271" s="4" t="str">
        <f>CONCATENATE(Weekly!C275," @",Weekly!A275,"_",Weekly!B275)</f>
        <v>Clean Carpets @NB_Sanctuary</v>
      </c>
      <c r="C271" s="4" t="e">
        <f ca="1">CONCATENATE(Weekly!F275," / ",Weekly!G275)</f>
        <v>#NAME?</v>
      </c>
      <c r="E271" s="4">
        <v>1</v>
      </c>
      <c r="F271" s="4">
        <v>1</v>
      </c>
      <c r="G271" s="4" t="s">
        <v>194</v>
      </c>
      <c r="H271" s="4" t="str">
        <f>LOOKUP(Weekly!E275,Workers!A:A,Workers!B:B)</f>
        <v>Garrett (57173225)</v>
      </c>
      <c r="I271" s="4" t="e">
        <f ca="1">Weekly!M275</f>
        <v>#NAME?</v>
      </c>
      <c r="J271" s="4" t="s">
        <v>195</v>
      </c>
      <c r="K271" s="4" t="s">
        <v>196</v>
      </c>
    </row>
    <row r="272" spans="1:11" ht="15.75" customHeight="1" x14ac:dyDescent="0.25">
      <c r="A272" s="4" t="s">
        <v>193</v>
      </c>
      <c r="B272" s="4" t="str">
        <f>CONCATENATE(Weekly!C276," @",Weekly!A276,"_",Weekly!B276)</f>
        <v>Pickup Trash @NB_Sanctuary</v>
      </c>
      <c r="C272" s="4" t="e">
        <f ca="1">CONCATENATE(Weekly!F276," / ",Weekly!G276)</f>
        <v>#NAME?</v>
      </c>
      <c r="E272" s="4">
        <v>1</v>
      </c>
      <c r="F272" s="4">
        <v>1</v>
      </c>
      <c r="G272" s="4" t="s">
        <v>194</v>
      </c>
      <c r="H272" s="4" t="str">
        <f>LOOKUP(Weekly!E276,Workers!A:A,Workers!B:B)</f>
        <v>Garrett (57173225)</v>
      </c>
      <c r="I272" s="4" t="e">
        <f ca="1">Weekly!M276</f>
        <v>#NAME?</v>
      </c>
      <c r="J272" s="4" t="s">
        <v>195</v>
      </c>
      <c r="K272" s="4" t="s">
        <v>196</v>
      </c>
    </row>
    <row r="273" spans="1:11" ht="15.75" customHeight="1" x14ac:dyDescent="0.25">
      <c r="A273" s="4" t="s">
        <v>193</v>
      </c>
      <c r="B273" s="4" t="str">
        <f>CONCATENATE(Weekly!C277," @",Weekly!A277,"_",Weekly!B277)</f>
        <v>Spot Clean Glass @NB_Sanctuary</v>
      </c>
      <c r="C273" s="4" t="e">
        <f ca="1">CONCATENATE(Weekly!F277," / ",Weekly!G277)</f>
        <v>#NAME?</v>
      </c>
      <c r="E273" s="4">
        <v>1</v>
      </c>
      <c r="F273" s="4">
        <v>1</v>
      </c>
      <c r="G273" s="4" t="s">
        <v>194</v>
      </c>
      <c r="H273" s="4" t="str">
        <f>LOOKUP(Weekly!E277,Workers!A:A,Workers!B:B)</f>
        <v>Garrett (57173225)</v>
      </c>
      <c r="I273" s="4" t="e">
        <f ca="1">Weekly!M277</f>
        <v>#NAME?</v>
      </c>
      <c r="J273" s="4" t="s">
        <v>195</v>
      </c>
      <c r="K273" s="4" t="s">
        <v>196</v>
      </c>
    </row>
    <row r="274" spans="1:11" ht="15.75" customHeight="1" x14ac:dyDescent="0.25">
      <c r="A274" s="4" t="s">
        <v>193</v>
      </c>
      <c r="B274" s="4" t="str">
        <f>CONCATENATE(Weekly!C278," @",Weekly!A278,"_",Weekly!B278)</f>
        <v>Straighten Chairs @NB_Sanctuary</v>
      </c>
      <c r="C274" s="4" t="e">
        <f ca="1">CONCATENATE(Weekly!F278," / ",Weekly!G278)</f>
        <v>#NAME?</v>
      </c>
      <c r="E274" s="4">
        <v>1</v>
      </c>
      <c r="F274" s="4">
        <v>1</v>
      </c>
      <c r="G274" s="4" t="s">
        <v>194</v>
      </c>
      <c r="H274" s="4" t="str">
        <f>LOOKUP(Weekly!E278,Workers!A:A,Workers!B:B)</f>
        <v>Garrett (57173225)</v>
      </c>
      <c r="I274" s="4" t="e">
        <f ca="1">Weekly!M278</f>
        <v>#NAME?</v>
      </c>
      <c r="J274" s="4" t="s">
        <v>195</v>
      </c>
      <c r="K274" s="4" t="s">
        <v>196</v>
      </c>
    </row>
    <row r="275" spans="1:11" ht="15.75" customHeight="1" x14ac:dyDescent="0.25">
      <c r="A275" s="4" t="s">
        <v>193</v>
      </c>
      <c r="B275" s="4" t="str">
        <f>CONCATENATE(Weekly!C279," @",Weekly!A279,"_",Weekly!B279)</f>
        <v>Vacuum Light Traffic @NB_Sanctuary</v>
      </c>
      <c r="C275" s="4" t="e">
        <f ca="1">CONCATENATE(Weekly!F279," / ",Weekly!G279)</f>
        <v>#NAME?</v>
      </c>
      <c r="E275" s="4">
        <v>1</v>
      </c>
      <c r="F275" s="4">
        <v>1</v>
      </c>
      <c r="G275" s="4" t="s">
        <v>194</v>
      </c>
      <c r="H275" s="4" t="str">
        <f>LOOKUP(Weekly!E279,Workers!A:A,Workers!B:B)</f>
        <v>Garrett (57173225)</v>
      </c>
      <c r="I275" s="4" t="e">
        <f ca="1">Weekly!M279</f>
        <v>#NAME?</v>
      </c>
      <c r="J275" s="4" t="s">
        <v>195</v>
      </c>
      <c r="K275" s="4" t="s">
        <v>196</v>
      </c>
    </row>
    <row r="276" spans="1:11" ht="15.75" customHeight="1" x14ac:dyDescent="0.25">
      <c r="A276" s="4" t="s">
        <v>193</v>
      </c>
      <c r="B276" s="4" t="str">
        <f>CONCATENATE(Weekly!C280," @",Weekly!A280,"_",Weekly!B280)</f>
        <v>Vacuum Stairs @NB_Sanctuary</v>
      </c>
      <c r="C276" s="4" t="e">
        <f ca="1">CONCATENATE(Weekly!F280," / ",Weekly!G280)</f>
        <v>#NAME?</v>
      </c>
      <c r="E276" s="4">
        <v>1</v>
      </c>
      <c r="F276" s="4">
        <v>1</v>
      </c>
      <c r="G276" s="4" t="s">
        <v>194</v>
      </c>
      <c r="H276" s="4" t="str">
        <f>LOOKUP(Weekly!E280,Workers!A:A,Workers!B:B)</f>
        <v>Garrett (57173225)</v>
      </c>
      <c r="I276" s="4" t="e">
        <f ca="1">Weekly!M280</f>
        <v>#NAME?</v>
      </c>
      <c r="J276" s="4" t="s">
        <v>195</v>
      </c>
      <c r="K276" s="4" t="s">
        <v>196</v>
      </c>
    </row>
    <row r="277" spans="1:11" ht="15.75" customHeight="1" x14ac:dyDescent="0.25">
      <c r="A277" s="4" t="s">
        <v>193</v>
      </c>
      <c r="B277" s="4" t="str">
        <f>CONCATENATE(Weekly!C281," @",Weekly!A281,"_",Weekly!B281)</f>
        <v>Wipe down Stair Rails @NB_Sanctuary</v>
      </c>
      <c r="C277" s="4" t="e">
        <f ca="1">CONCATENATE(Weekly!F281," / ",Weekly!G281)</f>
        <v>#NAME?</v>
      </c>
      <c r="E277" s="4">
        <v>1</v>
      </c>
      <c r="F277" s="4">
        <v>1</v>
      </c>
      <c r="G277" s="4" t="s">
        <v>194</v>
      </c>
      <c r="H277" s="4" t="str">
        <f>LOOKUP(Weekly!E281,Workers!A:A,Workers!B:B)</f>
        <v>Garrett (57173225)</v>
      </c>
      <c r="I277" s="4" t="e">
        <f ca="1">Weekly!M281</f>
        <v>#NAME?</v>
      </c>
      <c r="J277" s="4" t="s">
        <v>195</v>
      </c>
      <c r="K277" s="4" t="s">
        <v>196</v>
      </c>
    </row>
    <row r="278" spans="1:11" ht="15.75" customHeight="1" x14ac:dyDescent="0.25">
      <c r="A278" s="4" t="s">
        <v>193</v>
      </c>
      <c r="B278" s="4" t="str">
        <f>CONCATENATE(Weekly!C282," @",Weekly!A282,"_",Weekly!B282)</f>
        <v>Empty Trash Small @NB_CommOpps</v>
      </c>
      <c r="C278" s="4" t="e">
        <f ca="1">CONCATENATE(Weekly!F282," / ",Weekly!G282)</f>
        <v>#NAME?</v>
      </c>
      <c r="E278" s="4">
        <v>1</v>
      </c>
      <c r="F278" s="4">
        <v>1</v>
      </c>
      <c r="G278" s="4" t="s">
        <v>194</v>
      </c>
      <c r="H278" s="4" t="str">
        <f>LOOKUP(Weekly!E282,Workers!A:A,Workers!B:B)</f>
        <v>Ryan (57174722)</v>
      </c>
      <c r="I278" s="4" t="e">
        <f ca="1">Weekly!M282</f>
        <v>#NAME?</v>
      </c>
      <c r="J278" s="4" t="s">
        <v>195</v>
      </c>
      <c r="K278" s="4" t="s">
        <v>196</v>
      </c>
    </row>
    <row r="279" spans="1:11" ht="15.75" customHeight="1" x14ac:dyDescent="0.25">
      <c r="A279" s="4" t="s">
        <v>193</v>
      </c>
      <c r="B279" s="4" t="str">
        <f>CONCATENATE(Weekly!C283," @",Weekly!A283,"_",Weekly!B283)</f>
        <v>Vacuum Light Traffic @NB_CommOpps</v>
      </c>
      <c r="C279" s="4" t="e">
        <f ca="1">CONCATENATE(Weekly!F283," / ",Weekly!G283)</f>
        <v>#NAME?</v>
      </c>
      <c r="E279" s="4">
        <v>1</v>
      </c>
      <c r="F279" s="4">
        <v>1</v>
      </c>
      <c r="G279" s="4" t="s">
        <v>194</v>
      </c>
      <c r="H279" s="4" t="str">
        <f>LOOKUP(Weekly!E283,Workers!A:A,Workers!B:B)</f>
        <v>Ryan (57174722)</v>
      </c>
      <c r="I279" s="4" t="e">
        <f ca="1">Weekly!M283</f>
        <v>#NAME?</v>
      </c>
      <c r="J279" s="4" t="s">
        <v>195</v>
      </c>
      <c r="K279" s="4" t="s">
        <v>196</v>
      </c>
    </row>
    <row r="280" spans="1:11" ht="15.75" customHeight="1" x14ac:dyDescent="0.25">
      <c r="A280" s="4" t="s">
        <v>193</v>
      </c>
      <c r="B280" s="4" t="str">
        <f>CONCATENATE(Weekly!C284," @",Weekly!A284,"_",Weekly!B284)</f>
        <v>Mop @NB_Men's Shower 2</v>
      </c>
      <c r="C280" s="4" t="e">
        <f ca="1">CONCATENATE(Weekly!F284," / ",Weekly!G284)</f>
        <v>#NAME?</v>
      </c>
      <c r="E280" s="4">
        <v>1</v>
      </c>
      <c r="F280" s="4">
        <v>1</v>
      </c>
      <c r="G280" s="4" t="s">
        <v>194</v>
      </c>
      <c r="H280" s="4" t="str">
        <f>LOOKUP(Weekly!E284,Workers!A:A,Workers!B:B)</f>
        <v>Ryan (57174722)</v>
      </c>
      <c r="I280" s="4" t="e">
        <f ca="1">Weekly!M284</f>
        <v>#NAME?</v>
      </c>
      <c r="J280" s="4" t="s">
        <v>195</v>
      </c>
      <c r="K280" s="4" t="s">
        <v>196</v>
      </c>
    </row>
    <row r="281" spans="1:11" ht="15.75" customHeight="1" x14ac:dyDescent="0.25">
      <c r="A281" s="4" t="s">
        <v>193</v>
      </c>
      <c r="B281" s="4" t="str">
        <f>CONCATENATE(Weekly!C285," @",Weekly!A285,"_",Weekly!B285)</f>
        <v>Scrub Showers @NB_Men's Shower 2</v>
      </c>
      <c r="C281" s="4" t="e">
        <f ca="1">CONCATENATE(Weekly!F285," / ",Weekly!G285)</f>
        <v>#NAME?</v>
      </c>
      <c r="E281" s="4">
        <v>1</v>
      </c>
      <c r="F281" s="4">
        <v>1</v>
      </c>
      <c r="G281" s="4" t="s">
        <v>194</v>
      </c>
      <c r="H281" s="4" t="str">
        <f>LOOKUP(Weekly!E285,Workers!A:A,Workers!B:B)</f>
        <v>Ryan (57174722)</v>
      </c>
      <c r="I281" s="4" t="e">
        <f ca="1">Weekly!M285</f>
        <v>#NAME?</v>
      </c>
      <c r="J281" s="4" t="s">
        <v>195</v>
      </c>
      <c r="K281" s="4" t="s">
        <v>196</v>
      </c>
    </row>
    <row r="282" spans="1:11" ht="15.75" customHeight="1" x14ac:dyDescent="0.25">
      <c r="A282" s="4" t="s">
        <v>193</v>
      </c>
      <c r="B282" s="4" t="str">
        <f>CONCATENATE(Weekly!C286," @",Weekly!A286,"_",Weekly!B286)</f>
        <v>Sweep @NB_Men's Shower 2</v>
      </c>
      <c r="C282" s="4" t="e">
        <f ca="1">CONCATENATE(Weekly!F286," / ",Weekly!G286)</f>
        <v>#NAME?</v>
      </c>
      <c r="E282" s="4">
        <v>1</v>
      </c>
      <c r="F282" s="4">
        <v>1</v>
      </c>
      <c r="G282" s="4" t="s">
        <v>194</v>
      </c>
      <c r="H282" s="4" t="str">
        <f>LOOKUP(Weekly!E286,Workers!A:A,Workers!B:B)</f>
        <v>Ryan (57174722)</v>
      </c>
      <c r="I282" s="4" t="e">
        <f ca="1">Weekly!M286</f>
        <v>#NAME?</v>
      </c>
      <c r="J282" s="4" t="s">
        <v>195</v>
      </c>
      <c r="K282" s="4" t="s">
        <v>196</v>
      </c>
    </row>
    <row r="283" spans="1:11" ht="15.75" customHeight="1" x14ac:dyDescent="0.25">
      <c r="A283" s="4" t="s">
        <v>193</v>
      </c>
      <c r="B283" s="4" t="str">
        <f>CONCATENATE(Weekly!C287," @",Weekly!A287,"_",Weekly!B287)</f>
        <v>Mop @NB_Men's Shower 1</v>
      </c>
      <c r="C283" s="4" t="e">
        <f ca="1">CONCATENATE(Weekly!F287," / ",Weekly!G287)</f>
        <v>#NAME?</v>
      </c>
      <c r="E283" s="4">
        <v>1</v>
      </c>
      <c r="F283" s="4">
        <v>1</v>
      </c>
      <c r="G283" s="4" t="s">
        <v>194</v>
      </c>
      <c r="H283" s="4" t="str">
        <f>LOOKUP(Weekly!E287,Workers!A:A,Workers!B:B)</f>
        <v>Ryan (57174722)</v>
      </c>
      <c r="I283" s="4" t="e">
        <f ca="1">Weekly!M287</f>
        <v>#NAME?</v>
      </c>
      <c r="J283" s="4" t="s">
        <v>195</v>
      </c>
      <c r="K283" s="4" t="s">
        <v>196</v>
      </c>
    </row>
    <row r="284" spans="1:11" ht="15.75" customHeight="1" x14ac:dyDescent="0.25">
      <c r="A284" s="4" t="s">
        <v>193</v>
      </c>
      <c r="B284" s="4" t="str">
        <f>CONCATENATE(Weekly!C288," @",Weekly!A288,"_",Weekly!B288)</f>
        <v>Scrub Showers @NB_Men's Shower 1</v>
      </c>
      <c r="C284" s="4" t="e">
        <f ca="1">CONCATENATE(Weekly!F288," / ",Weekly!G288)</f>
        <v>#NAME?</v>
      </c>
      <c r="E284" s="4">
        <v>1</v>
      </c>
      <c r="F284" s="4">
        <v>1</v>
      </c>
      <c r="G284" s="4" t="s">
        <v>194</v>
      </c>
      <c r="H284" s="4" t="str">
        <f>LOOKUP(Weekly!E288,Workers!A:A,Workers!B:B)</f>
        <v>Ryan (57174722)</v>
      </c>
      <c r="I284" s="4" t="e">
        <f ca="1">Weekly!M288</f>
        <v>#NAME?</v>
      </c>
      <c r="J284" s="4" t="s">
        <v>195</v>
      </c>
      <c r="K284" s="4" t="s">
        <v>196</v>
      </c>
    </row>
    <row r="285" spans="1:11" ht="15.75" customHeight="1" x14ac:dyDescent="0.25">
      <c r="A285" s="4" t="s">
        <v>193</v>
      </c>
      <c r="B285" s="4" t="str">
        <f>CONCATENATE(Weekly!C289," @",Weekly!A289,"_",Weekly!B289)</f>
        <v>Sweep @NB_Men's Shower 1</v>
      </c>
      <c r="C285" s="4" t="e">
        <f ca="1">CONCATENATE(Weekly!F289," / ",Weekly!G289)</f>
        <v>#NAME?</v>
      </c>
      <c r="E285" s="4">
        <v>1</v>
      </c>
      <c r="F285" s="4">
        <v>1</v>
      </c>
      <c r="G285" s="4" t="s">
        <v>194</v>
      </c>
      <c r="H285" s="4" t="str">
        <f>LOOKUP(Weekly!E289,Workers!A:A,Workers!B:B)</f>
        <v>Ryan (57174722)</v>
      </c>
      <c r="I285" s="4" t="e">
        <f ca="1">Weekly!M289</f>
        <v>#NAME?</v>
      </c>
      <c r="J285" s="4" t="s">
        <v>195</v>
      </c>
      <c r="K285" s="4" t="s">
        <v>196</v>
      </c>
    </row>
    <row r="286" spans="1:11" ht="15.75" customHeight="1" x14ac:dyDescent="0.25">
      <c r="A286" s="4" t="s">
        <v>193</v>
      </c>
      <c r="B286" s="4" t="str">
        <f>CONCATENATE(Weekly!C296," @",Weekly!A296,"_",Weekly!B296)</f>
        <v>Empty Trash Large @NB_Break Room</v>
      </c>
      <c r="C286" s="4" t="e">
        <f ca="1">CONCATENATE(Weekly!F296," / ",Weekly!G296)</f>
        <v>#NAME?</v>
      </c>
      <c r="E286" s="4">
        <v>1</v>
      </c>
      <c r="F286" s="4">
        <v>1</v>
      </c>
      <c r="G286" s="4" t="s">
        <v>194</v>
      </c>
      <c r="H286" s="4" t="str">
        <f>LOOKUP(Weekly!E296,Workers!A:A,Workers!B:B)</f>
        <v>Ryan (57174722)</v>
      </c>
      <c r="I286" s="4" t="e">
        <f ca="1">Weekly!M296</f>
        <v>#NAME?</v>
      </c>
      <c r="J286" s="4" t="s">
        <v>195</v>
      </c>
      <c r="K286" s="4" t="s">
        <v>196</v>
      </c>
    </row>
    <row r="287" spans="1:11" ht="15.75" customHeight="1" x14ac:dyDescent="0.25">
      <c r="A287" s="4" t="s">
        <v>193</v>
      </c>
      <c r="B287" s="4" t="str">
        <f>CONCATENATE(Weekly!C297," @",Weekly!A297,"_",Weekly!B297)</f>
        <v>Vacuum Light Traffic @NB_Break Room</v>
      </c>
      <c r="C287" s="4" t="e">
        <f ca="1">CONCATENATE(Weekly!F297," / ",Weekly!G297)</f>
        <v>#NAME?</v>
      </c>
      <c r="E287" s="4">
        <v>1</v>
      </c>
      <c r="F287" s="4">
        <v>1</v>
      </c>
      <c r="G287" s="4" t="s">
        <v>194</v>
      </c>
      <c r="H287" s="4" t="str">
        <f>LOOKUP(Weekly!E297,Workers!A:A,Workers!B:B)</f>
        <v>Ryan (57174722)</v>
      </c>
      <c r="I287" s="4" t="e">
        <f ca="1">Weekly!M297</f>
        <v>#NAME?</v>
      </c>
      <c r="J287" s="4" t="s">
        <v>195</v>
      </c>
      <c r="K287" s="4" t="s">
        <v>196</v>
      </c>
    </row>
    <row r="288" spans="1:11" ht="15.75" customHeight="1" x14ac:dyDescent="0.25">
      <c r="A288" s="4" t="s">
        <v>193</v>
      </c>
      <c r="B288" s="4" t="str">
        <f>CONCATENATE(Weekly!C298," @",Weekly!A298,"_",Weekly!B298)</f>
        <v>Wipe down Counters @NB_Break Room</v>
      </c>
      <c r="C288" s="4" t="e">
        <f ca="1">CONCATENATE(Weekly!F298," / ",Weekly!G298)</f>
        <v>#NAME?</v>
      </c>
      <c r="E288" s="4">
        <v>1</v>
      </c>
      <c r="F288" s="4">
        <v>1</v>
      </c>
      <c r="G288" s="4" t="s">
        <v>194</v>
      </c>
      <c r="H288" s="4" t="str">
        <f>LOOKUP(Weekly!E298,Workers!A:A,Workers!B:B)</f>
        <v>Ryan (57174722)</v>
      </c>
      <c r="I288" s="4" t="e">
        <f ca="1">Weekly!M298</f>
        <v>#NAME?</v>
      </c>
      <c r="J288" s="4" t="s">
        <v>195</v>
      </c>
      <c r="K288" s="4" t="s">
        <v>196</v>
      </c>
    </row>
    <row r="289" spans="1:11" ht="15.75" customHeight="1" x14ac:dyDescent="0.25">
      <c r="A289" s="4" t="s">
        <v>193</v>
      </c>
      <c r="B289" s="4" t="str">
        <f>CONCATENATE(Weekly!C299," @",Weekly!A299,"_",Weekly!B299)</f>
        <v>Wipe down Tables @NB_Break Room</v>
      </c>
      <c r="C289" s="4" t="e">
        <f ca="1">CONCATENATE(Weekly!F299," / ",Weekly!G299)</f>
        <v>#NAME?</v>
      </c>
      <c r="E289" s="4">
        <v>1</v>
      </c>
      <c r="F289" s="4">
        <v>1</v>
      </c>
      <c r="G289" s="4" t="s">
        <v>194</v>
      </c>
      <c r="H289" s="4" t="str">
        <f>LOOKUP(Weekly!E299,Workers!A:A,Workers!B:B)</f>
        <v>Ryan (57174722)</v>
      </c>
      <c r="I289" s="4" t="e">
        <f ca="1">Weekly!M299</f>
        <v>#NAME?</v>
      </c>
      <c r="J289" s="4" t="s">
        <v>195</v>
      </c>
      <c r="K289" s="4" t="s">
        <v>196</v>
      </c>
    </row>
    <row r="290" spans="1:11" ht="15.75" customHeight="1" x14ac:dyDescent="0.25">
      <c r="A290" s="4" t="s">
        <v>193</v>
      </c>
      <c r="B290" s="4" t="str">
        <f>CONCATENATE(Weekly!C300," @",Weekly!A300,"_",Weekly!B300)</f>
        <v>Vacuum Light Traffic @NB_Stage</v>
      </c>
      <c r="C290" s="4" t="e">
        <f ca="1">CONCATENATE(Weekly!F300," / ",Weekly!G300)</f>
        <v>#NAME?</v>
      </c>
      <c r="E290" s="4">
        <v>1</v>
      </c>
      <c r="F290" s="4">
        <v>1</v>
      </c>
      <c r="G290" s="4" t="s">
        <v>194</v>
      </c>
      <c r="H290" s="4" t="str">
        <f>LOOKUP(Weekly!E300,Workers!A:A,Workers!B:B)</f>
        <v>Garrett (57173225)</v>
      </c>
      <c r="I290" s="4" t="e">
        <f ca="1">Weekly!M300</f>
        <v>#NAME?</v>
      </c>
      <c r="J290" s="4" t="s">
        <v>195</v>
      </c>
      <c r="K290" s="4" t="s">
        <v>196</v>
      </c>
    </row>
    <row r="291" spans="1:11" ht="15.75" customHeight="1" x14ac:dyDescent="0.25">
      <c r="A291" s="4" t="s">
        <v>193</v>
      </c>
      <c r="B291" s="4" t="str">
        <f>CONCATENATE(Weekly!C301," @",Weekly!A301,"_",Weekly!B301)</f>
        <v>Vacuum Light Traffic @SB_Stage</v>
      </c>
      <c r="C291" s="4" t="e">
        <f ca="1">CONCATENATE(Weekly!F301," / ",Weekly!G301)</f>
        <v>#NAME?</v>
      </c>
      <c r="E291" s="4">
        <v>1</v>
      </c>
      <c r="F291" s="4">
        <v>1</v>
      </c>
      <c r="G291" s="4" t="s">
        <v>194</v>
      </c>
      <c r="H291" s="4" t="str">
        <f>LOOKUP(Weekly!E301,Workers!A:A,Workers!B:B)</f>
        <v>Ryan (57174722)</v>
      </c>
      <c r="I291" s="4" t="e">
        <f ca="1">Weekly!M301</f>
        <v>#NAME?</v>
      </c>
      <c r="J291" s="4" t="s">
        <v>195</v>
      </c>
      <c r="K291" s="4" t="s">
        <v>196</v>
      </c>
    </row>
    <row r="292" spans="1:11" ht="15.75" customHeight="1" x14ac:dyDescent="0.25">
      <c r="A292" s="4" t="s">
        <v>193</v>
      </c>
      <c r="B292" s="4" t="str">
        <f>CONCATENATE(Weekly!C302," @",Weekly!A302,"_",Weekly!B302)</f>
        <v>Vacuum Stairs @SB_Stairs</v>
      </c>
      <c r="C292" s="4" t="e">
        <f ca="1">CONCATENATE(Weekly!F302," / ",Weekly!G302)</f>
        <v>#NAME?</v>
      </c>
      <c r="E292" s="4">
        <v>1</v>
      </c>
      <c r="F292" s="4">
        <v>1</v>
      </c>
      <c r="G292" s="4" t="s">
        <v>194</v>
      </c>
      <c r="H292" s="4" t="str">
        <f>LOOKUP(Weekly!E302,Workers!A:A,Workers!B:B)</f>
        <v>Garrett (57173225)</v>
      </c>
      <c r="I292" s="4" t="e">
        <f ca="1">Weekly!M302</f>
        <v>#NAME?</v>
      </c>
      <c r="J292" s="4" t="s">
        <v>195</v>
      </c>
      <c r="K292" s="4" t="s">
        <v>196</v>
      </c>
    </row>
    <row r="293" spans="1:11" ht="15.75" customHeight="1" x14ac:dyDescent="0.25">
      <c r="A293" s="4" t="s">
        <v>193</v>
      </c>
      <c r="B293" s="4" t="str">
        <f>CONCATENATE(Weekly!C303," @",Weekly!A303,"_",Weekly!B303)</f>
        <v>Empty Trash Small @NB_Women's Lounge Down</v>
      </c>
      <c r="C293" s="4" t="e">
        <f ca="1">CONCATENATE(Weekly!F303," / ",Weekly!G303)</f>
        <v>#NAME?</v>
      </c>
      <c r="E293" s="4">
        <v>1</v>
      </c>
      <c r="F293" s="4">
        <v>1</v>
      </c>
      <c r="G293" s="4" t="s">
        <v>194</v>
      </c>
      <c r="H293" s="4" t="str">
        <f>LOOKUP(Weekly!E303,Workers!A:A,Workers!B:B)</f>
        <v>Ryan (57174722)</v>
      </c>
      <c r="I293" s="4" t="e">
        <f ca="1">Weekly!M303</f>
        <v>#NAME?</v>
      </c>
      <c r="J293" s="4" t="s">
        <v>195</v>
      </c>
      <c r="K293" s="4" t="s">
        <v>196</v>
      </c>
    </row>
    <row r="294" spans="1:11" ht="15.75" customHeight="1" x14ac:dyDescent="0.25">
      <c r="A294" s="4" t="s">
        <v>193</v>
      </c>
      <c r="B294" s="4" t="str">
        <f>CONCATENATE(Weekly!C304," @",Weekly!A304,"_",Weekly!B304)</f>
        <v>Vacuum Light Traffic @NB_Women's Lounge Down</v>
      </c>
      <c r="C294" s="4" t="e">
        <f ca="1">CONCATENATE(Weekly!F304," / ",Weekly!G304)</f>
        <v>#NAME?</v>
      </c>
      <c r="E294" s="4">
        <v>1</v>
      </c>
      <c r="F294" s="4">
        <v>1</v>
      </c>
      <c r="G294" s="4" t="s">
        <v>194</v>
      </c>
      <c r="H294" s="4" t="str">
        <f>LOOKUP(Weekly!E304,Workers!A:A,Workers!B:B)</f>
        <v>Ryan (57174722)</v>
      </c>
      <c r="I294" s="4" t="e">
        <f ca="1">Weekly!M304</f>
        <v>#NAME?</v>
      </c>
      <c r="J294" s="4" t="s">
        <v>195</v>
      </c>
      <c r="K294" s="4" t="s">
        <v>196</v>
      </c>
    </row>
    <row r="295" spans="1:11" ht="15.75" customHeight="1" x14ac:dyDescent="0.25">
      <c r="A295" s="4" t="s">
        <v>193</v>
      </c>
      <c r="B295" s="4" t="str">
        <f>CONCATENATE(Weekly!C305," @",Weekly!A305,"_",Weekly!B305)</f>
        <v>Empty Trash Small @NB_Women's Lounge Up</v>
      </c>
      <c r="C295" s="4" t="e">
        <f ca="1">CONCATENATE(Weekly!F305," / ",Weekly!G305)</f>
        <v>#NAME?</v>
      </c>
      <c r="E295" s="4">
        <v>1</v>
      </c>
      <c r="F295" s="4">
        <v>1</v>
      </c>
      <c r="G295" s="4" t="s">
        <v>194</v>
      </c>
      <c r="H295" s="4" t="str">
        <f>LOOKUP(Weekly!E305,Workers!A:A,Workers!B:B)</f>
        <v>Ryan (57174722)</v>
      </c>
      <c r="I295" s="4" t="e">
        <f ca="1">Weekly!M305</f>
        <v>#NAME?</v>
      </c>
      <c r="J295" s="4" t="s">
        <v>195</v>
      </c>
      <c r="K295" s="4" t="s">
        <v>196</v>
      </c>
    </row>
    <row r="296" spans="1:11" ht="15.75" customHeight="1" x14ac:dyDescent="0.25">
      <c r="A296" s="4" t="s">
        <v>193</v>
      </c>
      <c r="B296" s="4" t="str">
        <f>CONCATENATE(Weekly!C306," @",Weekly!A306,"_",Weekly!B306)</f>
        <v>Vacuum Light Traffic @NB_Women's Lounge Up</v>
      </c>
      <c r="C296" s="4" t="e">
        <f ca="1">CONCATENATE(Weekly!F306," / ",Weekly!G306)</f>
        <v>#NAME?</v>
      </c>
      <c r="E296" s="4">
        <v>1</v>
      </c>
      <c r="F296" s="4">
        <v>1</v>
      </c>
      <c r="G296" s="4" t="s">
        <v>194</v>
      </c>
      <c r="H296" s="4" t="str">
        <f>LOOKUP(Weekly!E306,Workers!A:A,Workers!B:B)</f>
        <v>Ryan (57174722)</v>
      </c>
      <c r="I296" s="4" t="e">
        <f ca="1">Weekly!M306</f>
        <v>#NAME?</v>
      </c>
      <c r="J296" s="4" t="s">
        <v>195</v>
      </c>
      <c r="K296" s="4" t="s">
        <v>196</v>
      </c>
    </row>
    <row r="297" spans="1:11" ht="15.75" customHeight="1" x14ac:dyDescent="0.25"/>
    <row r="298" spans="1:11" ht="15.75" customHeight="1" x14ac:dyDescent="0.25"/>
    <row r="299" spans="1:11" ht="15.75" customHeight="1" x14ac:dyDescent="0.25"/>
    <row r="300" spans="1:11" ht="15.75" customHeight="1" x14ac:dyDescent="0.25"/>
    <row r="301" spans="1:11" ht="15.75" customHeight="1" x14ac:dyDescent="0.25"/>
    <row r="302" spans="1:11" ht="15.75" customHeight="1" x14ac:dyDescent="0.25"/>
    <row r="303" spans="1:11" ht="15.75" customHeight="1" x14ac:dyDescent="0.25"/>
    <row r="304" spans="1:11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15" x14ac:dyDescent="0.25">
      <c r="A1" s="4" t="s">
        <v>176</v>
      </c>
      <c r="B1" s="4" t="s">
        <v>177</v>
      </c>
      <c r="C1" s="4" t="s">
        <v>178</v>
      </c>
      <c r="D1" s="4" t="s">
        <v>179</v>
      </c>
      <c r="E1" s="4" t="s">
        <v>180</v>
      </c>
      <c r="F1" s="4" t="s">
        <v>181</v>
      </c>
      <c r="G1" s="4" t="s">
        <v>182</v>
      </c>
      <c r="H1" s="4" t="s">
        <v>183</v>
      </c>
      <c r="I1" s="4" t="s">
        <v>184</v>
      </c>
      <c r="J1" s="4" t="s">
        <v>185</v>
      </c>
      <c r="K1" s="4" t="s">
        <v>186</v>
      </c>
      <c r="L1" s="4" t="s">
        <v>187</v>
      </c>
      <c r="M1" s="4" t="s">
        <v>188</v>
      </c>
      <c r="N1" s="4" t="s">
        <v>189</v>
      </c>
      <c r="O1" s="4" t="s">
        <v>190</v>
      </c>
    </row>
    <row r="2" spans="1:15" x14ac:dyDescent="0.25">
      <c r="A2" s="4" t="s">
        <v>191</v>
      </c>
      <c r="B2" s="4" t="s">
        <v>192</v>
      </c>
    </row>
    <row r="4" spans="1:15" x14ac:dyDescent="0.25">
      <c r="A4" s="4" t="s">
        <v>193</v>
      </c>
      <c r="B4" s="4" t="s">
        <v>197</v>
      </c>
      <c r="C4" s="4" t="s">
        <v>198</v>
      </c>
      <c r="E4" s="4">
        <v>1</v>
      </c>
      <c r="F4" s="4">
        <v>1</v>
      </c>
      <c r="G4" s="4" t="s">
        <v>199</v>
      </c>
      <c r="H4" s="4" t="s">
        <v>200</v>
      </c>
      <c r="I4" s="4" t="s">
        <v>201</v>
      </c>
      <c r="J4" s="4" t="s">
        <v>195</v>
      </c>
      <c r="K4" s="4" t="s">
        <v>196</v>
      </c>
    </row>
    <row r="5" spans="1:15" x14ac:dyDescent="0.25">
      <c r="A5" s="4" t="s">
        <v>193</v>
      </c>
      <c r="B5" s="4" t="s">
        <v>202</v>
      </c>
      <c r="C5" s="4" t="s">
        <v>203</v>
      </c>
      <c r="E5" s="4">
        <v>1</v>
      </c>
      <c r="F5" s="4">
        <v>1</v>
      </c>
      <c r="G5" s="4" t="s">
        <v>199</v>
      </c>
      <c r="H5" s="4" t="s">
        <v>204</v>
      </c>
      <c r="I5" s="4" t="s">
        <v>201</v>
      </c>
      <c r="J5" s="4" t="s">
        <v>195</v>
      </c>
      <c r="K5" s="4" t="s">
        <v>196</v>
      </c>
    </row>
    <row r="6" spans="1:15" x14ac:dyDescent="0.25">
      <c r="A6" s="4" t="s">
        <v>193</v>
      </c>
      <c r="B6" s="4" t="s">
        <v>205</v>
      </c>
      <c r="C6" s="4" t="s">
        <v>203</v>
      </c>
      <c r="E6" s="4">
        <v>1</v>
      </c>
      <c r="F6" s="4">
        <v>1</v>
      </c>
      <c r="G6" s="4" t="s">
        <v>199</v>
      </c>
      <c r="H6" s="4" t="s">
        <v>200</v>
      </c>
      <c r="I6" s="4" t="s">
        <v>206</v>
      </c>
      <c r="J6" s="4" t="s">
        <v>195</v>
      </c>
      <c r="K6" s="4" t="s">
        <v>196</v>
      </c>
    </row>
    <row r="7" spans="1:15" x14ac:dyDescent="0.25">
      <c r="A7" s="4" t="s">
        <v>193</v>
      </c>
      <c r="B7" s="4" t="s">
        <v>207</v>
      </c>
      <c r="C7" s="4" t="s">
        <v>203</v>
      </c>
      <c r="E7" s="4">
        <v>1</v>
      </c>
      <c r="F7" s="4">
        <v>1</v>
      </c>
      <c r="G7" s="4" t="s">
        <v>199</v>
      </c>
      <c r="H7" s="4" t="s">
        <v>204</v>
      </c>
      <c r="I7" s="4" t="s">
        <v>201</v>
      </c>
      <c r="J7" s="4" t="s">
        <v>195</v>
      </c>
      <c r="K7" s="4" t="s">
        <v>196</v>
      </c>
    </row>
    <row r="8" spans="1:15" x14ac:dyDescent="0.25">
      <c r="A8" s="4" t="s">
        <v>193</v>
      </c>
      <c r="B8" s="4" t="s">
        <v>208</v>
      </c>
      <c r="C8" s="4" t="s">
        <v>209</v>
      </c>
      <c r="E8" s="4">
        <v>1</v>
      </c>
      <c r="F8" s="4">
        <v>1</v>
      </c>
      <c r="G8" s="4" t="s">
        <v>199</v>
      </c>
      <c r="H8" s="4" t="s">
        <v>204</v>
      </c>
      <c r="I8" s="4" t="s">
        <v>210</v>
      </c>
      <c r="J8" s="4" t="s">
        <v>195</v>
      </c>
      <c r="K8" s="4" t="s">
        <v>196</v>
      </c>
    </row>
    <row r="9" spans="1:15" x14ac:dyDescent="0.25">
      <c r="A9" s="4" t="s">
        <v>193</v>
      </c>
      <c r="B9" s="4" t="s">
        <v>211</v>
      </c>
      <c r="C9" s="4" t="s">
        <v>209</v>
      </c>
      <c r="E9" s="4">
        <v>1</v>
      </c>
      <c r="F9" s="4">
        <v>1</v>
      </c>
      <c r="G9" s="4" t="s">
        <v>199</v>
      </c>
      <c r="H9" s="4" t="s">
        <v>204</v>
      </c>
      <c r="I9" s="4" t="s">
        <v>212</v>
      </c>
      <c r="J9" s="4" t="s">
        <v>195</v>
      </c>
      <c r="K9" s="4" t="s">
        <v>196</v>
      </c>
    </row>
    <row r="10" spans="1:15" x14ac:dyDescent="0.25">
      <c r="A10" s="4" t="s">
        <v>193</v>
      </c>
      <c r="B10" s="4" t="s">
        <v>213</v>
      </c>
      <c r="C10" s="4" t="s">
        <v>209</v>
      </c>
      <c r="E10" s="4">
        <v>1</v>
      </c>
      <c r="F10" s="4">
        <v>1</v>
      </c>
      <c r="G10" s="4" t="s">
        <v>199</v>
      </c>
      <c r="H10" s="4" t="s">
        <v>204</v>
      </c>
      <c r="I10" s="4" t="s">
        <v>212</v>
      </c>
      <c r="J10" s="4" t="s">
        <v>195</v>
      </c>
      <c r="K10" s="4" t="s">
        <v>196</v>
      </c>
    </row>
    <row r="11" spans="1:15" x14ac:dyDescent="0.25">
      <c r="A11" s="4" t="s">
        <v>193</v>
      </c>
      <c r="B11" s="4" t="s">
        <v>214</v>
      </c>
      <c r="C11" s="4" t="s">
        <v>215</v>
      </c>
      <c r="E11" s="4">
        <v>1</v>
      </c>
      <c r="F11" s="4">
        <v>1</v>
      </c>
      <c r="G11" s="4" t="s">
        <v>199</v>
      </c>
      <c r="H11" s="4" t="s">
        <v>204</v>
      </c>
      <c r="I11" s="4" t="s">
        <v>216</v>
      </c>
      <c r="J11" s="4" t="s">
        <v>195</v>
      </c>
      <c r="K11" s="4" t="s">
        <v>196</v>
      </c>
    </row>
    <row r="12" spans="1:15" x14ac:dyDescent="0.25">
      <c r="A12" s="4" t="s">
        <v>193</v>
      </c>
      <c r="B12" s="4" t="s">
        <v>217</v>
      </c>
      <c r="C12" s="4" t="s">
        <v>215</v>
      </c>
      <c r="E12" s="4">
        <v>1</v>
      </c>
      <c r="F12" s="4">
        <v>1</v>
      </c>
      <c r="G12" s="4" t="s">
        <v>199</v>
      </c>
      <c r="H12" s="4" t="s">
        <v>204</v>
      </c>
      <c r="I12" s="4" t="s">
        <v>216</v>
      </c>
      <c r="J12" s="4" t="s">
        <v>195</v>
      </c>
      <c r="K12" s="4" t="s">
        <v>196</v>
      </c>
    </row>
    <row r="13" spans="1:15" x14ac:dyDescent="0.25">
      <c r="A13" s="4" t="s">
        <v>193</v>
      </c>
      <c r="B13" s="4" t="s">
        <v>218</v>
      </c>
      <c r="C13" s="4" t="s">
        <v>215</v>
      </c>
      <c r="E13" s="4">
        <v>1</v>
      </c>
      <c r="F13" s="4">
        <v>1</v>
      </c>
      <c r="G13" s="4" t="s">
        <v>199</v>
      </c>
      <c r="H13" s="4" t="s">
        <v>204</v>
      </c>
      <c r="I13" s="4" t="s">
        <v>206</v>
      </c>
      <c r="J13" s="4" t="s">
        <v>195</v>
      </c>
      <c r="K13" s="4" t="s">
        <v>196</v>
      </c>
    </row>
    <row r="14" spans="1:15" x14ac:dyDescent="0.25">
      <c r="A14" s="4" t="s">
        <v>193</v>
      </c>
      <c r="B14" s="4" t="s">
        <v>219</v>
      </c>
      <c r="C14" s="4" t="s">
        <v>220</v>
      </c>
      <c r="E14" s="4">
        <v>1</v>
      </c>
      <c r="F14" s="4">
        <v>1</v>
      </c>
      <c r="G14" s="4" t="s">
        <v>199</v>
      </c>
      <c r="H14" s="4" t="s">
        <v>204</v>
      </c>
      <c r="I14" s="4" t="s">
        <v>201</v>
      </c>
      <c r="J14" s="4" t="s">
        <v>195</v>
      </c>
      <c r="K14" s="4" t="s">
        <v>196</v>
      </c>
    </row>
    <row r="15" spans="1:15" x14ac:dyDescent="0.25">
      <c r="A15" s="4" t="s">
        <v>193</v>
      </c>
      <c r="B15" s="4" t="s">
        <v>221</v>
      </c>
      <c r="C15" s="4" t="s">
        <v>220</v>
      </c>
      <c r="E15" s="4">
        <v>1</v>
      </c>
      <c r="F15" s="4">
        <v>1</v>
      </c>
      <c r="G15" s="4" t="s">
        <v>199</v>
      </c>
      <c r="H15" s="4" t="s">
        <v>204</v>
      </c>
      <c r="I15" s="4" t="s">
        <v>212</v>
      </c>
      <c r="J15" s="4" t="s">
        <v>195</v>
      </c>
      <c r="K15" s="4" t="s">
        <v>196</v>
      </c>
    </row>
    <row r="16" spans="1:15" x14ac:dyDescent="0.25">
      <c r="A16" s="4" t="s">
        <v>193</v>
      </c>
      <c r="B16" s="4" t="s">
        <v>222</v>
      </c>
      <c r="C16" s="4" t="s">
        <v>220</v>
      </c>
      <c r="E16" s="4">
        <v>1</v>
      </c>
      <c r="F16" s="4">
        <v>1</v>
      </c>
      <c r="G16" s="4" t="s">
        <v>199</v>
      </c>
      <c r="H16" s="4" t="s">
        <v>204</v>
      </c>
      <c r="I16" s="4" t="s">
        <v>201</v>
      </c>
      <c r="J16" s="4" t="s">
        <v>195</v>
      </c>
      <c r="K16" s="4" t="s">
        <v>196</v>
      </c>
    </row>
    <row r="17" spans="1:11" x14ac:dyDescent="0.25">
      <c r="A17" s="4" t="s">
        <v>193</v>
      </c>
      <c r="B17" s="4" t="s">
        <v>223</v>
      </c>
      <c r="C17" s="4" t="s">
        <v>224</v>
      </c>
      <c r="E17" s="4">
        <v>1</v>
      </c>
      <c r="F17" s="4">
        <v>1</v>
      </c>
      <c r="G17" s="4" t="s">
        <v>199</v>
      </c>
      <c r="H17" s="4" t="s">
        <v>204</v>
      </c>
      <c r="I17" s="4" t="s">
        <v>225</v>
      </c>
      <c r="J17" s="4" t="s">
        <v>195</v>
      </c>
      <c r="K17" s="4" t="s">
        <v>196</v>
      </c>
    </row>
    <row r="18" spans="1:11" x14ac:dyDescent="0.25">
      <c r="A18" s="4" t="s">
        <v>193</v>
      </c>
      <c r="B18" s="4" t="s">
        <v>226</v>
      </c>
      <c r="C18" s="4" t="s">
        <v>224</v>
      </c>
      <c r="E18" s="4">
        <v>1</v>
      </c>
      <c r="F18" s="4">
        <v>1</v>
      </c>
      <c r="G18" s="4" t="s">
        <v>199</v>
      </c>
      <c r="H18" s="4" t="s">
        <v>204</v>
      </c>
      <c r="I18" s="4" t="s">
        <v>227</v>
      </c>
      <c r="J18" s="4" t="s">
        <v>195</v>
      </c>
      <c r="K18" s="4" t="s">
        <v>196</v>
      </c>
    </row>
    <row r="19" spans="1:11" x14ac:dyDescent="0.25">
      <c r="A19" s="4" t="s">
        <v>193</v>
      </c>
      <c r="B19" s="4" t="s">
        <v>228</v>
      </c>
      <c r="C19" s="4" t="s">
        <v>224</v>
      </c>
      <c r="E19" s="4">
        <v>1</v>
      </c>
      <c r="F19" s="4">
        <v>1</v>
      </c>
      <c r="G19" s="4" t="s">
        <v>199</v>
      </c>
      <c r="H19" s="4" t="s">
        <v>229</v>
      </c>
      <c r="I19" s="4" t="s">
        <v>230</v>
      </c>
      <c r="J19" s="4" t="s">
        <v>195</v>
      </c>
      <c r="K19" s="4" t="s">
        <v>196</v>
      </c>
    </row>
    <row r="20" spans="1:11" x14ac:dyDescent="0.25">
      <c r="A20" s="4" t="s">
        <v>193</v>
      </c>
      <c r="B20" s="4" t="s">
        <v>231</v>
      </c>
      <c r="C20" s="4" t="s">
        <v>224</v>
      </c>
      <c r="E20" s="4">
        <v>1</v>
      </c>
      <c r="F20" s="4">
        <v>1</v>
      </c>
      <c r="G20" s="4" t="s">
        <v>199</v>
      </c>
      <c r="H20" s="4" t="s">
        <v>204</v>
      </c>
      <c r="I20" s="4" t="s">
        <v>212</v>
      </c>
      <c r="J20" s="4" t="s">
        <v>195</v>
      </c>
      <c r="K20" s="4" t="s">
        <v>196</v>
      </c>
    </row>
    <row r="21" spans="1:11" ht="15.75" customHeight="1" x14ac:dyDescent="0.25">
      <c r="A21" s="4" t="s">
        <v>193</v>
      </c>
      <c r="B21" s="4" t="s">
        <v>232</v>
      </c>
      <c r="C21" s="4" t="s">
        <v>224</v>
      </c>
      <c r="E21" s="4">
        <v>1</v>
      </c>
      <c r="F21" s="4">
        <v>1</v>
      </c>
      <c r="G21" s="4" t="s">
        <v>199</v>
      </c>
      <c r="H21" s="4" t="s">
        <v>229</v>
      </c>
      <c r="I21" s="4" t="s">
        <v>230</v>
      </c>
      <c r="J21" s="4" t="s">
        <v>195</v>
      </c>
      <c r="K21" s="4" t="s">
        <v>196</v>
      </c>
    </row>
    <row r="22" spans="1:11" ht="15.75" customHeight="1" x14ac:dyDescent="0.25">
      <c r="A22" s="4" t="s">
        <v>193</v>
      </c>
      <c r="B22" s="4" t="s">
        <v>233</v>
      </c>
      <c r="C22" s="4" t="s">
        <v>224</v>
      </c>
      <c r="E22" s="4">
        <v>1</v>
      </c>
      <c r="F22" s="4">
        <v>1</v>
      </c>
      <c r="G22" s="4" t="s">
        <v>199</v>
      </c>
      <c r="H22" s="4" t="s">
        <v>204</v>
      </c>
      <c r="I22" s="4" t="s">
        <v>225</v>
      </c>
      <c r="J22" s="4" t="s">
        <v>195</v>
      </c>
      <c r="K22" s="4" t="s">
        <v>196</v>
      </c>
    </row>
    <row r="23" spans="1:11" ht="15.75" customHeight="1" x14ac:dyDescent="0.25">
      <c r="A23" s="4" t="s">
        <v>193</v>
      </c>
      <c r="B23" s="4" t="s">
        <v>234</v>
      </c>
      <c r="C23" s="4" t="s">
        <v>224</v>
      </c>
      <c r="E23" s="4">
        <v>1</v>
      </c>
      <c r="F23" s="4">
        <v>1</v>
      </c>
      <c r="G23" s="4" t="s">
        <v>199</v>
      </c>
      <c r="H23" s="4" t="s">
        <v>204</v>
      </c>
      <c r="I23" s="4" t="s">
        <v>227</v>
      </c>
      <c r="J23" s="4" t="s">
        <v>195</v>
      </c>
      <c r="K23" s="4" t="s">
        <v>196</v>
      </c>
    </row>
    <row r="24" spans="1:11" ht="15.75" customHeight="1" x14ac:dyDescent="0.25">
      <c r="A24" s="4" t="s">
        <v>193</v>
      </c>
      <c r="B24" s="4" t="s">
        <v>235</v>
      </c>
      <c r="C24" s="4" t="s">
        <v>224</v>
      </c>
      <c r="E24" s="4">
        <v>1</v>
      </c>
      <c r="F24" s="4">
        <v>1</v>
      </c>
      <c r="G24" s="4" t="s">
        <v>199</v>
      </c>
      <c r="H24" s="4" t="s">
        <v>229</v>
      </c>
      <c r="I24" s="4" t="s">
        <v>230</v>
      </c>
      <c r="J24" s="4" t="s">
        <v>195</v>
      </c>
      <c r="K24" s="4" t="s">
        <v>196</v>
      </c>
    </row>
    <row r="25" spans="1:11" ht="15.75" customHeight="1" x14ac:dyDescent="0.25">
      <c r="A25" s="4" t="s">
        <v>193</v>
      </c>
      <c r="B25" s="4" t="s">
        <v>236</v>
      </c>
      <c r="C25" s="4" t="s">
        <v>224</v>
      </c>
      <c r="E25" s="4">
        <v>1</v>
      </c>
      <c r="F25" s="4">
        <v>1</v>
      </c>
      <c r="G25" s="4" t="s">
        <v>199</v>
      </c>
      <c r="H25" s="4" t="s">
        <v>204</v>
      </c>
      <c r="I25" s="4" t="s">
        <v>212</v>
      </c>
      <c r="J25" s="4" t="s">
        <v>195</v>
      </c>
      <c r="K25" s="4" t="s">
        <v>196</v>
      </c>
    </row>
    <row r="26" spans="1:11" ht="15.75" customHeight="1" x14ac:dyDescent="0.25">
      <c r="A26" s="4" t="s">
        <v>193</v>
      </c>
      <c r="B26" s="4" t="s">
        <v>237</v>
      </c>
      <c r="C26" s="4" t="s">
        <v>224</v>
      </c>
      <c r="E26" s="4">
        <v>1</v>
      </c>
      <c r="F26" s="4">
        <v>1</v>
      </c>
      <c r="G26" s="4" t="s">
        <v>199</v>
      </c>
      <c r="H26" s="4" t="s">
        <v>229</v>
      </c>
      <c r="I26" s="4" t="s">
        <v>230</v>
      </c>
      <c r="J26" s="4" t="s">
        <v>195</v>
      </c>
      <c r="K26" s="4" t="s">
        <v>196</v>
      </c>
    </row>
    <row r="27" spans="1:11" ht="15.75" customHeight="1" x14ac:dyDescent="0.25">
      <c r="A27" s="4" t="s">
        <v>193</v>
      </c>
      <c r="B27" s="4" t="s">
        <v>238</v>
      </c>
      <c r="C27" s="4" t="s">
        <v>239</v>
      </c>
      <c r="E27" s="4">
        <v>1</v>
      </c>
      <c r="F27" s="4">
        <v>1</v>
      </c>
      <c r="G27" s="4" t="s">
        <v>199</v>
      </c>
      <c r="H27" s="4" t="s">
        <v>200</v>
      </c>
      <c r="I27" s="4" t="s">
        <v>201</v>
      </c>
      <c r="J27" s="4" t="s">
        <v>195</v>
      </c>
      <c r="K27" s="4" t="s">
        <v>196</v>
      </c>
    </row>
    <row r="28" spans="1:11" ht="15.75" customHeight="1" x14ac:dyDescent="0.25">
      <c r="A28" s="4" t="s">
        <v>193</v>
      </c>
      <c r="B28" s="4" t="s">
        <v>240</v>
      </c>
      <c r="C28" s="4" t="s">
        <v>239</v>
      </c>
      <c r="E28" s="4">
        <v>1</v>
      </c>
      <c r="F28" s="4">
        <v>1</v>
      </c>
      <c r="G28" s="4" t="s">
        <v>199</v>
      </c>
      <c r="H28" s="4" t="s">
        <v>204</v>
      </c>
      <c r="I28" s="4" t="s">
        <v>201</v>
      </c>
      <c r="J28" s="4" t="s">
        <v>195</v>
      </c>
      <c r="K28" s="4" t="s">
        <v>196</v>
      </c>
    </row>
    <row r="29" spans="1:11" ht="15.75" customHeight="1" x14ac:dyDescent="0.25">
      <c r="A29" s="4" t="s">
        <v>193</v>
      </c>
      <c r="B29" s="4" t="s">
        <v>241</v>
      </c>
      <c r="C29" s="4" t="s">
        <v>239</v>
      </c>
      <c r="E29" s="4">
        <v>1</v>
      </c>
      <c r="F29" s="4">
        <v>1</v>
      </c>
      <c r="G29" s="4" t="s">
        <v>199</v>
      </c>
      <c r="H29" s="4" t="s">
        <v>204</v>
      </c>
      <c r="I29" s="4" t="s">
        <v>206</v>
      </c>
      <c r="J29" s="4" t="s">
        <v>195</v>
      </c>
      <c r="K29" s="4" t="s">
        <v>196</v>
      </c>
    </row>
    <row r="30" spans="1:11" ht="15.75" customHeight="1" x14ac:dyDescent="0.25">
      <c r="A30" s="4" t="s">
        <v>193</v>
      </c>
      <c r="B30" s="4" t="s">
        <v>242</v>
      </c>
      <c r="C30" s="4" t="s">
        <v>239</v>
      </c>
      <c r="E30" s="4">
        <v>1</v>
      </c>
      <c r="F30" s="4">
        <v>1</v>
      </c>
      <c r="G30" s="4" t="s">
        <v>199</v>
      </c>
      <c r="H30" s="4" t="s">
        <v>204</v>
      </c>
      <c r="I30" s="4" t="s">
        <v>201</v>
      </c>
      <c r="J30" s="4" t="s">
        <v>195</v>
      </c>
      <c r="K30" s="4" t="s">
        <v>196</v>
      </c>
    </row>
    <row r="31" spans="1:11" ht="15.75" customHeight="1" x14ac:dyDescent="0.25">
      <c r="A31" s="4" t="s">
        <v>193</v>
      </c>
      <c r="B31" s="4" t="s">
        <v>243</v>
      </c>
      <c r="C31" s="4" t="s">
        <v>239</v>
      </c>
      <c r="E31" s="4">
        <v>1</v>
      </c>
      <c r="F31" s="4">
        <v>1</v>
      </c>
      <c r="G31" s="4" t="s">
        <v>199</v>
      </c>
      <c r="H31" s="4" t="s">
        <v>204</v>
      </c>
      <c r="I31" s="4" t="s">
        <v>216</v>
      </c>
      <c r="J31" s="4" t="s">
        <v>195</v>
      </c>
      <c r="K31" s="4" t="s">
        <v>196</v>
      </c>
    </row>
    <row r="32" spans="1:11" ht="15.75" customHeight="1" x14ac:dyDescent="0.25">
      <c r="A32" s="4" t="s">
        <v>193</v>
      </c>
      <c r="B32" s="4" t="s">
        <v>244</v>
      </c>
      <c r="C32" s="4" t="s">
        <v>239</v>
      </c>
      <c r="E32" s="4">
        <v>1</v>
      </c>
      <c r="F32" s="4">
        <v>1</v>
      </c>
      <c r="G32" s="4" t="s">
        <v>199</v>
      </c>
      <c r="H32" s="4" t="s">
        <v>204</v>
      </c>
      <c r="I32" s="4" t="s">
        <v>201</v>
      </c>
      <c r="J32" s="4" t="s">
        <v>195</v>
      </c>
      <c r="K32" s="4" t="s">
        <v>196</v>
      </c>
    </row>
    <row r="33" spans="1:11" ht="15.75" customHeight="1" x14ac:dyDescent="0.25">
      <c r="A33" s="4" t="s">
        <v>193</v>
      </c>
      <c r="B33" s="4" t="s">
        <v>245</v>
      </c>
      <c r="C33" s="4" t="s">
        <v>239</v>
      </c>
      <c r="E33" s="4">
        <v>1</v>
      </c>
      <c r="F33" s="4">
        <v>1</v>
      </c>
      <c r="G33" s="4" t="s">
        <v>199</v>
      </c>
      <c r="H33" s="4" t="s">
        <v>200</v>
      </c>
      <c r="I33" s="4" t="s">
        <v>246</v>
      </c>
      <c r="J33" s="4" t="s">
        <v>195</v>
      </c>
      <c r="K33" s="4" t="s">
        <v>196</v>
      </c>
    </row>
    <row r="34" spans="1:11" ht="15.75" customHeight="1" x14ac:dyDescent="0.25">
      <c r="A34" s="4" t="s">
        <v>193</v>
      </c>
      <c r="B34" s="4" t="s">
        <v>247</v>
      </c>
      <c r="C34" s="4" t="s">
        <v>239</v>
      </c>
      <c r="E34" s="4">
        <v>1</v>
      </c>
      <c r="F34" s="4">
        <v>1</v>
      </c>
      <c r="G34" s="4" t="s">
        <v>199</v>
      </c>
      <c r="H34" s="4" t="s">
        <v>204</v>
      </c>
      <c r="I34" s="4" t="s">
        <v>248</v>
      </c>
      <c r="J34" s="4" t="s">
        <v>195</v>
      </c>
      <c r="K34" s="4" t="s">
        <v>196</v>
      </c>
    </row>
    <row r="35" spans="1:11" ht="15.75" customHeight="1" x14ac:dyDescent="0.25">
      <c r="A35" s="4" t="s">
        <v>193</v>
      </c>
      <c r="B35" s="4" t="s">
        <v>249</v>
      </c>
      <c r="C35" s="4" t="s">
        <v>239</v>
      </c>
      <c r="E35" s="4">
        <v>1</v>
      </c>
      <c r="F35" s="4">
        <v>1</v>
      </c>
      <c r="G35" s="4" t="s">
        <v>199</v>
      </c>
      <c r="H35" s="4" t="s">
        <v>204</v>
      </c>
      <c r="I35" s="4" t="s">
        <v>210</v>
      </c>
      <c r="J35" s="4" t="s">
        <v>195</v>
      </c>
      <c r="K35" s="4" t="s">
        <v>196</v>
      </c>
    </row>
    <row r="36" spans="1:11" ht="15.75" customHeight="1" x14ac:dyDescent="0.25">
      <c r="A36" s="4" t="s">
        <v>193</v>
      </c>
      <c r="B36" s="4" t="s">
        <v>250</v>
      </c>
      <c r="C36" s="4" t="s">
        <v>239</v>
      </c>
      <c r="E36" s="4">
        <v>1</v>
      </c>
      <c r="F36" s="4">
        <v>1</v>
      </c>
      <c r="G36" s="4" t="s">
        <v>199</v>
      </c>
      <c r="H36" s="4" t="s">
        <v>204</v>
      </c>
      <c r="I36" s="4" t="s">
        <v>210</v>
      </c>
      <c r="J36" s="4" t="s">
        <v>195</v>
      </c>
      <c r="K36" s="4" t="s">
        <v>196</v>
      </c>
    </row>
    <row r="37" spans="1:11" ht="15.75" customHeight="1" x14ac:dyDescent="0.25">
      <c r="A37" s="4" t="s">
        <v>193</v>
      </c>
      <c r="B37" s="4" t="s">
        <v>251</v>
      </c>
      <c r="C37" s="4" t="s">
        <v>239</v>
      </c>
      <c r="E37" s="4">
        <v>1</v>
      </c>
      <c r="F37" s="4">
        <v>1</v>
      </c>
      <c r="G37" s="4" t="s">
        <v>199</v>
      </c>
      <c r="H37" s="4" t="s">
        <v>204</v>
      </c>
      <c r="I37" s="4" t="s">
        <v>248</v>
      </c>
      <c r="J37" s="4" t="s">
        <v>195</v>
      </c>
      <c r="K37" s="4" t="s">
        <v>196</v>
      </c>
    </row>
    <row r="38" spans="1:11" ht="15.75" customHeight="1" x14ac:dyDescent="0.25">
      <c r="A38" s="4" t="s">
        <v>193</v>
      </c>
      <c r="B38" s="4" t="s">
        <v>252</v>
      </c>
      <c r="C38" s="4" t="s">
        <v>253</v>
      </c>
      <c r="E38" s="4">
        <v>1</v>
      </c>
      <c r="F38" s="4">
        <v>1</v>
      </c>
      <c r="G38" s="4" t="s">
        <v>199</v>
      </c>
      <c r="H38" s="4" t="s">
        <v>204</v>
      </c>
      <c r="I38" s="4" t="s">
        <v>210</v>
      </c>
      <c r="J38" s="4" t="s">
        <v>195</v>
      </c>
      <c r="K38" s="4" t="s">
        <v>196</v>
      </c>
    </row>
    <row r="39" spans="1:11" ht="15.75" customHeight="1" x14ac:dyDescent="0.25">
      <c r="A39" s="4" t="s">
        <v>193</v>
      </c>
      <c r="B39" s="4" t="s">
        <v>254</v>
      </c>
      <c r="C39" s="4" t="s">
        <v>253</v>
      </c>
      <c r="E39" s="4">
        <v>1</v>
      </c>
      <c r="F39" s="4">
        <v>1</v>
      </c>
      <c r="G39" s="4" t="s">
        <v>199</v>
      </c>
      <c r="H39" s="4" t="s">
        <v>204</v>
      </c>
      <c r="I39" s="4" t="s">
        <v>248</v>
      </c>
      <c r="J39" s="4" t="s">
        <v>195</v>
      </c>
      <c r="K39" s="4" t="s">
        <v>196</v>
      </c>
    </row>
    <row r="40" spans="1:11" ht="15.75" customHeight="1" x14ac:dyDescent="0.25">
      <c r="A40" s="4" t="s">
        <v>193</v>
      </c>
      <c r="B40" s="4" t="s">
        <v>255</v>
      </c>
      <c r="C40" s="4" t="s">
        <v>253</v>
      </c>
      <c r="E40" s="4">
        <v>1</v>
      </c>
      <c r="F40" s="4">
        <v>1</v>
      </c>
      <c r="G40" s="4" t="s">
        <v>199</v>
      </c>
      <c r="H40" s="4" t="s">
        <v>204</v>
      </c>
      <c r="I40" s="4" t="s">
        <v>216</v>
      </c>
      <c r="J40" s="4" t="s">
        <v>195</v>
      </c>
      <c r="K40" s="4" t="s">
        <v>196</v>
      </c>
    </row>
    <row r="41" spans="1:11" ht="15.75" customHeight="1" x14ac:dyDescent="0.25">
      <c r="A41" s="4" t="s">
        <v>193</v>
      </c>
      <c r="B41" s="4" t="s">
        <v>256</v>
      </c>
      <c r="C41" s="4" t="s">
        <v>253</v>
      </c>
      <c r="E41" s="4">
        <v>1</v>
      </c>
      <c r="F41" s="4">
        <v>1</v>
      </c>
      <c r="G41" s="4" t="s">
        <v>199</v>
      </c>
      <c r="H41" s="4" t="s">
        <v>204</v>
      </c>
      <c r="I41" s="4" t="s">
        <v>248</v>
      </c>
      <c r="J41" s="4" t="s">
        <v>195</v>
      </c>
      <c r="K41" s="4" t="s">
        <v>196</v>
      </c>
    </row>
    <row r="42" spans="1:11" ht="15.75" customHeight="1" x14ac:dyDescent="0.25">
      <c r="A42" s="4" t="s">
        <v>193</v>
      </c>
      <c r="B42" s="4" t="s">
        <v>257</v>
      </c>
      <c r="C42" s="4" t="s">
        <v>253</v>
      </c>
      <c r="E42" s="4">
        <v>1</v>
      </c>
      <c r="F42" s="4">
        <v>1</v>
      </c>
      <c r="G42" s="4" t="s">
        <v>199</v>
      </c>
      <c r="H42" s="4" t="s">
        <v>204</v>
      </c>
      <c r="I42" s="4" t="s">
        <v>216</v>
      </c>
      <c r="J42" s="4" t="s">
        <v>195</v>
      </c>
      <c r="K42" s="4" t="s">
        <v>196</v>
      </c>
    </row>
    <row r="43" spans="1:11" ht="15.75" customHeight="1" x14ac:dyDescent="0.25">
      <c r="A43" s="4" t="s">
        <v>193</v>
      </c>
      <c r="B43" s="4" t="s">
        <v>258</v>
      </c>
      <c r="C43" s="4" t="s">
        <v>253</v>
      </c>
      <c r="E43" s="4">
        <v>1</v>
      </c>
      <c r="F43" s="4">
        <v>1</v>
      </c>
      <c r="G43" s="4" t="s">
        <v>199</v>
      </c>
      <c r="H43" s="4" t="s">
        <v>204</v>
      </c>
      <c r="I43" s="4" t="s">
        <v>216</v>
      </c>
      <c r="J43" s="4" t="s">
        <v>195</v>
      </c>
      <c r="K43" s="4" t="s">
        <v>196</v>
      </c>
    </row>
    <row r="44" spans="1:11" ht="15.75" customHeight="1" x14ac:dyDescent="0.25">
      <c r="A44" s="4" t="s">
        <v>193</v>
      </c>
      <c r="B44" s="4" t="s">
        <v>259</v>
      </c>
      <c r="C44" s="4" t="s">
        <v>253</v>
      </c>
      <c r="E44" s="4">
        <v>1</v>
      </c>
      <c r="F44" s="4">
        <v>1</v>
      </c>
      <c r="G44" s="4" t="s">
        <v>199</v>
      </c>
      <c r="H44" s="4" t="s">
        <v>204</v>
      </c>
      <c r="I44" s="4" t="s">
        <v>216</v>
      </c>
      <c r="J44" s="4" t="s">
        <v>195</v>
      </c>
      <c r="K44" s="4" t="s">
        <v>196</v>
      </c>
    </row>
    <row r="45" spans="1:11" ht="15.75" customHeight="1" x14ac:dyDescent="0.25">
      <c r="A45" s="4" t="s">
        <v>193</v>
      </c>
      <c r="B45" s="4" t="s">
        <v>260</v>
      </c>
      <c r="C45" s="4" t="s">
        <v>253</v>
      </c>
      <c r="E45" s="4">
        <v>1</v>
      </c>
      <c r="F45" s="4">
        <v>1</v>
      </c>
      <c r="G45" s="4" t="s">
        <v>199</v>
      </c>
      <c r="H45" s="4" t="s">
        <v>204</v>
      </c>
      <c r="I45" s="4" t="s">
        <v>248</v>
      </c>
      <c r="J45" s="4" t="s">
        <v>195</v>
      </c>
      <c r="K45" s="4" t="s">
        <v>196</v>
      </c>
    </row>
    <row r="46" spans="1:11" ht="15.75" customHeight="1" x14ac:dyDescent="0.25">
      <c r="A46" s="4" t="s">
        <v>193</v>
      </c>
      <c r="B46" s="4" t="s">
        <v>261</v>
      </c>
      <c r="C46" s="4" t="s">
        <v>253</v>
      </c>
      <c r="E46" s="4">
        <v>1</v>
      </c>
      <c r="F46" s="4">
        <v>1</v>
      </c>
      <c r="G46" s="4" t="s">
        <v>199</v>
      </c>
      <c r="H46" s="4" t="s">
        <v>204</v>
      </c>
      <c r="I46" s="4" t="s">
        <v>216</v>
      </c>
      <c r="J46" s="4" t="s">
        <v>195</v>
      </c>
      <c r="K46" s="4" t="s">
        <v>196</v>
      </c>
    </row>
    <row r="47" spans="1:11" ht="15.75" customHeight="1" x14ac:dyDescent="0.25">
      <c r="A47" s="4" t="s">
        <v>193</v>
      </c>
      <c r="B47" s="4" t="s">
        <v>262</v>
      </c>
      <c r="C47" s="4" t="s">
        <v>253</v>
      </c>
      <c r="E47" s="4">
        <v>1</v>
      </c>
      <c r="F47" s="4">
        <v>1</v>
      </c>
      <c r="G47" s="4" t="s">
        <v>199</v>
      </c>
      <c r="H47" s="4" t="s">
        <v>204</v>
      </c>
      <c r="I47" s="4" t="s">
        <v>248</v>
      </c>
      <c r="J47" s="4" t="s">
        <v>195</v>
      </c>
      <c r="K47" s="4" t="s">
        <v>196</v>
      </c>
    </row>
    <row r="48" spans="1:11" ht="15.75" customHeight="1" x14ac:dyDescent="0.25">
      <c r="A48" s="4" t="s">
        <v>193</v>
      </c>
      <c r="B48" s="4" t="s">
        <v>263</v>
      </c>
      <c r="C48" s="4" t="s">
        <v>253</v>
      </c>
      <c r="E48" s="4">
        <v>1</v>
      </c>
      <c r="F48" s="4">
        <v>1</v>
      </c>
      <c r="G48" s="4" t="s">
        <v>199</v>
      </c>
      <c r="H48" s="4" t="s">
        <v>204</v>
      </c>
      <c r="I48" s="4" t="s">
        <v>216</v>
      </c>
      <c r="J48" s="4" t="s">
        <v>195</v>
      </c>
      <c r="K48" s="4" t="s">
        <v>196</v>
      </c>
    </row>
    <row r="49" spans="1:11" ht="15.75" customHeight="1" x14ac:dyDescent="0.25">
      <c r="A49" s="4" t="s">
        <v>193</v>
      </c>
      <c r="B49" s="4" t="s">
        <v>264</v>
      </c>
      <c r="C49" s="4" t="s">
        <v>253</v>
      </c>
      <c r="E49" s="4">
        <v>1</v>
      </c>
      <c r="F49" s="4">
        <v>1</v>
      </c>
      <c r="G49" s="4" t="s">
        <v>199</v>
      </c>
      <c r="H49" s="4" t="s">
        <v>204</v>
      </c>
      <c r="I49" s="4" t="s">
        <v>248</v>
      </c>
      <c r="J49" s="4" t="s">
        <v>195</v>
      </c>
      <c r="K49" s="4" t="s">
        <v>196</v>
      </c>
    </row>
    <row r="50" spans="1:11" ht="15.75" customHeight="1" x14ac:dyDescent="0.25">
      <c r="A50" s="4" t="s">
        <v>193</v>
      </c>
      <c r="B50" s="4" t="s">
        <v>265</v>
      </c>
      <c r="C50" s="4" t="s">
        <v>253</v>
      </c>
      <c r="E50" s="4">
        <v>1</v>
      </c>
      <c r="F50" s="4">
        <v>1</v>
      </c>
      <c r="G50" s="4" t="s">
        <v>199</v>
      </c>
      <c r="H50" s="4" t="s">
        <v>204</v>
      </c>
      <c r="I50" s="4" t="s">
        <v>216</v>
      </c>
      <c r="J50" s="4" t="s">
        <v>195</v>
      </c>
      <c r="K50" s="4" t="s">
        <v>196</v>
      </c>
    </row>
    <row r="51" spans="1:11" ht="15.75" customHeight="1" x14ac:dyDescent="0.25">
      <c r="A51" s="4" t="s">
        <v>193</v>
      </c>
      <c r="B51" s="4" t="s">
        <v>266</v>
      </c>
      <c r="C51" s="4" t="s">
        <v>253</v>
      </c>
      <c r="E51" s="4">
        <v>1</v>
      </c>
      <c r="F51" s="4">
        <v>1</v>
      </c>
      <c r="G51" s="4" t="s">
        <v>199</v>
      </c>
      <c r="H51" s="4" t="s">
        <v>204</v>
      </c>
      <c r="I51" s="4" t="s">
        <v>248</v>
      </c>
      <c r="J51" s="4" t="s">
        <v>195</v>
      </c>
      <c r="K51" s="4" t="s">
        <v>196</v>
      </c>
    </row>
    <row r="52" spans="1:11" ht="15.75" customHeight="1" x14ac:dyDescent="0.25">
      <c r="A52" s="4" t="s">
        <v>193</v>
      </c>
      <c r="B52" s="4" t="s">
        <v>267</v>
      </c>
      <c r="C52" s="4" t="s">
        <v>253</v>
      </c>
      <c r="E52" s="4">
        <v>1</v>
      </c>
      <c r="F52" s="4">
        <v>1</v>
      </c>
      <c r="G52" s="4" t="s">
        <v>199</v>
      </c>
      <c r="H52" s="4" t="s">
        <v>204</v>
      </c>
      <c r="I52" s="4" t="s">
        <v>216</v>
      </c>
      <c r="J52" s="4" t="s">
        <v>195</v>
      </c>
      <c r="K52" s="4" t="s">
        <v>196</v>
      </c>
    </row>
    <row r="53" spans="1:11" ht="15.75" customHeight="1" x14ac:dyDescent="0.25">
      <c r="A53" s="4" t="s">
        <v>193</v>
      </c>
      <c r="B53" s="4" t="s">
        <v>268</v>
      </c>
      <c r="C53" s="4" t="s">
        <v>253</v>
      </c>
      <c r="E53" s="4">
        <v>1</v>
      </c>
      <c r="F53" s="4">
        <v>1</v>
      </c>
      <c r="G53" s="4" t="s">
        <v>199</v>
      </c>
      <c r="H53" s="4" t="s">
        <v>204</v>
      </c>
      <c r="I53" s="4" t="s">
        <v>216</v>
      </c>
      <c r="J53" s="4" t="s">
        <v>195</v>
      </c>
      <c r="K53" s="4" t="s">
        <v>196</v>
      </c>
    </row>
    <row r="54" spans="1:11" ht="15.75" customHeight="1" x14ac:dyDescent="0.25">
      <c r="A54" s="4" t="s">
        <v>193</v>
      </c>
      <c r="B54" s="4" t="s">
        <v>269</v>
      </c>
      <c r="C54" s="4" t="s">
        <v>253</v>
      </c>
      <c r="E54" s="4">
        <v>1</v>
      </c>
      <c r="F54" s="4">
        <v>1</v>
      </c>
      <c r="G54" s="4" t="s">
        <v>199</v>
      </c>
      <c r="H54" s="4" t="s">
        <v>204</v>
      </c>
      <c r="I54" s="4" t="s">
        <v>210</v>
      </c>
      <c r="J54" s="4" t="s">
        <v>195</v>
      </c>
      <c r="K54" s="4" t="s">
        <v>196</v>
      </c>
    </row>
    <row r="55" spans="1:11" ht="15.75" customHeight="1" x14ac:dyDescent="0.25">
      <c r="A55" s="4" t="s">
        <v>193</v>
      </c>
      <c r="B55" s="4" t="s">
        <v>270</v>
      </c>
      <c r="C55" s="4" t="s">
        <v>253</v>
      </c>
      <c r="E55" s="4">
        <v>1</v>
      </c>
      <c r="F55" s="4">
        <v>1</v>
      </c>
      <c r="G55" s="4" t="s">
        <v>199</v>
      </c>
      <c r="H55" s="4" t="s">
        <v>204</v>
      </c>
      <c r="I55" s="4" t="s">
        <v>210</v>
      </c>
      <c r="J55" s="4" t="s">
        <v>195</v>
      </c>
      <c r="K55" s="4" t="s">
        <v>196</v>
      </c>
    </row>
    <row r="56" spans="1:11" ht="15.75" customHeight="1" x14ac:dyDescent="0.25">
      <c r="A56" s="4" t="s">
        <v>193</v>
      </c>
      <c r="B56" s="4" t="s">
        <v>271</v>
      </c>
      <c r="C56" s="4" t="s">
        <v>253</v>
      </c>
      <c r="E56" s="4">
        <v>1</v>
      </c>
      <c r="F56" s="4">
        <v>1</v>
      </c>
      <c r="G56" s="4" t="s">
        <v>199</v>
      </c>
      <c r="H56" s="4" t="s">
        <v>204</v>
      </c>
      <c r="I56" s="4" t="s">
        <v>210</v>
      </c>
      <c r="J56" s="4" t="s">
        <v>195</v>
      </c>
      <c r="K56" s="4" t="s">
        <v>196</v>
      </c>
    </row>
    <row r="57" spans="1:11" ht="15.75" customHeight="1" x14ac:dyDescent="0.25">
      <c r="A57" s="4" t="s">
        <v>193</v>
      </c>
      <c r="B57" s="4" t="s">
        <v>272</v>
      </c>
      <c r="C57" s="4" t="s">
        <v>253</v>
      </c>
      <c r="E57" s="4">
        <v>1</v>
      </c>
      <c r="F57" s="4">
        <v>1</v>
      </c>
      <c r="G57" s="4" t="s">
        <v>199</v>
      </c>
      <c r="H57" s="4" t="s">
        <v>204</v>
      </c>
      <c r="I57" s="4" t="s">
        <v>210</v>
      </c>
      <c r="J57" s="4" t="s">
        <v>195</v>
      </c>
      <c r="K57" s="4" t="s">
        <v>196</v>
      </c>
    </row>
    <row r="58" spans="1:11" ht="15.75" customHeight="1" x14ac:dyDescent="0.25">
      <c r="A58" s="4" t="s">
        <v>193</v>
      </c>
      <c r="B58" s="4" t="s">
        <v>273</v>
      </c>
      <c r="C58" s="4" t="s">
        <v>253</v>
      </c>
      <c r="E58" s="4">
        <v>1</v>
      </c>
      <c r="F58" s="4">
        <v>1</v>
      </c>
      <c r="G58" s="4" t="s">
        <v>199</v>
      </c>
      <c r="H58" s="4" t="s">
        <v>200</v>
      </c>
      <c r="I58" s="4" t="s">
        <v>206</v>
      </c>
      <c r="J58" s="4" t="s">
        <v>195</v>
      </c>
      <c r="K58" s="4" t="s">
        <v>196</v>
      </c>
    </row>
    <row r="59" spans="1:11" ht="15.75" customHeight="1" x14ac:dyDescent="0.25">
      <c r="A59" s="4" t="s">
        <v>193</v>
      </c>
      <c r="B59" s="4" t="s">
        <v>274</v>
      </c>
      <c r="C59" s="4" t="s">
        <v>253</v>
      </c>
      <c r="E59" s="4">
        <v>1</v>
      </c>
      <c r="F59" s="4">
        <v>1</v>
      </c>
      <c r="G59" s="4" t="s">
        <v>199</v>
      </c>
      <c r="H59" s="4" t="s">
        <v>200</v>
      </c>
      <c r="I59" s="4" t="s">
        <v>206</v>
      </c>
      <c r="J59" s="4" t="s">
        <v>195</v>
      </c>
      <c r="K59" s="4" t="s">
        <v>196</v>
      </c>
    </row>
    <row r="60" spans="1:11" ht="15.75" customHeight="1" x14ac:dyDescent="0.25">
      <c r="A60" s="4" t="s">
        <v>193</v>
      </c>
      <c r="B60" s="4" t="s">
        <v>275</v>
      </c>
      <c r="C60" s="4" t="s">
        <v>253</v>
      </c>
      <c r="E60" s="4">
        <v>1</v>
      </c>
      <c r="F60" s="4">
        <v>1</v>
      </c>
      <c r="G60" s="4" t="s">
        <v>199</v>
      </c>
      <c r="H60" s="4" t="s">
        <v>204</v>
      </c>
      <c r="I60" s="4" t="s">
        <v>248</v>
      </c>
      <c r="J60" s="4" t="s">
        <v>195</v>
      </c>
      <c r="K60" s="4" t="s">
        <v>196</v>
      </c>
    </row>
    <row r="61" spans="1:11" ht="15.75" customHeight="1" x14ac:dyDescent="0.25">
      <c r="A61" s="4" t="s">
        <v>193</v>
      </c>
      <c r="B61" s="4" t="s">
        <v>276</v>
      </c>
      <c r="C61" s="4" t="s">
        <v>253</v>
      </c>
      <c r="E61" s="4">
        <v>1</v>
      </c>
      <c r="F61" s="4">
        <v>1</v>
      </c>
      <c r="G61" s="4" t="s">
        <v>199</v>
      </c>
      <c r="H61" s="4" t="s">
        <v>204</v>
      </c>
      <c r="I61" s="4" t="s">
        <v>210</v>
      </c>
      <c r="J61" s="4" t="s">
        <v>195</v>
      </c>
      <c r="K61" s="4" t="s">
        <v>196</v>
      </c>
    </row>
    <row r="62" spans="1:11" ht="15.75" customHeight="1" x14ac:dyDescent="0.25">
      <c r="A62" s="4" t="s">
        <v>193</v>
      </c>
      <c r="B62" s="4" t="s">
        <v>277</v>
      </c>
      <c r="C62" s="4" t="s">
        <v>253</v>
      </c>
      <c r="E62" s="4">
        <v>1</v>
      </c>
      <c r="F62" s="4">
        <v>1</v>
      </c>
      <c r="G62" s="4" t="s">
        <v>199</v>
      </c>
      <c r="H62" s="4" t="s">
        <v>204</v>
      </c>
      <c r="I62" s="4" t="s">
        <v>206</v>
      </c>
      <c r="J62" s="4" t="s">
        <v>195</v>
      </c>
      <c r="K62" s="4" t="s">
        <v>196</v>
      </c>
    </row>
    <row r="63" spans="1:11" ht="15.75" customHeight="1" x14ac:dyDescent="0.25">
      <c r="A63" s="4" t="s">
        <v>193</v>
      </c>
      <c r="B63" s="4" t="s">
        <v>278</v>
      </c>
      <c r="C63" s="4" t="s">
        <v>253</v>
      </c>
      <c r="E63" s="4">
        <v>1</v>
      </c>
      <c r="F63" s="4">
        <v>1</v>
      </c>
      <c r="G63" s="4" t="s">
        <v>199</v>
      </c>
      <c r="H63" s="4" t="s">
        <v>204</v>
      </c>
      <c r="I63" s="4" t="s">
        <v>206</v>
      </c>
      <c r="J63" s="4" t="s">
        <v>195</v>
      </c>
      <c r="K63" s="4" t="s">
        <v>196</v>
      </c>
    </row>
    <row r="64" spans="1:11" ht="15.75" customHeight="1" x14ac:dyDescent="0.25">
      <c r="A64" s="4" t="s">
        <v>193</v>
      </c>
      <c r="B64" s="4" t="s">
        <v>279</v>
      </c>
      <c r="C64" s="4" t="s">
        <v>253</v>
      </c>
      <c r="E64" s="4">
        <v>1</v>
      </c>
      <c r="F64" s="4">
        <v>1</v>
      </c>
      <c r="G64" s="4" t="s">
        <v>199</v>
      </c>
      <c r="H64" s="4" t="s">
        <v>204</v>
      </c>
      <c r="I64" s="4" t="s">
        <v>248</v>
      </c>
      <c r="J64" s="4" t="s">
        <v>195</v>
      </c>
      <c r="K64" s="4" t="s">
        <v>196</v>
      </c>
    </row>
    <row r="65" spans="1:11" ht="15.75" customHeight="1" x14ac:dyDescent="0.25">
      <c r="A65" s="4" t="s">
        <v>193</v>
      </c>
      <c r="B65" s="4" t="s">
        <v>280</v>
      </c>
      <c r="C65" s="4" t="s">
        <v>253</v>
      </c>
      <c r="E65" s="4">
        <v>1</v>
      </c>
      <c r="F65" s="4">
        <v>1</v>
      </c>
      <c r="G65" s="4" t="s">
        <v>199</v>
      </c>
      <c r="H65" s="4" t="s">
        <v>204</v>
      </c>
      <c r="I65" s="4" t="s">
        <v>210</v>
      </c>
      <c r="J65" s="4" t="s">
        <v>195</v>
      </c>
      <c r="K65" s="4" t="s">
        <v>196</v>
      </c>
    </row>
    <row r="66" spans="1:11" ht="15.75" customHeight="1" x14ac:dyDescent="0.25">
      <c r="A66" s="4" t="s">
        <v>193</v>
      </c>
      <c r="B66" s="4" t="s">
        <v>281</v>
      </c>
      <c r="C66" s="4" t="s">
        <v>253</v>
      </c>
      <c r="E66" s="4">
        <v>1</v>
      </c>
      <c r="F66" s="4">
        <v>1</v>
      </c>
      <c r="G66" s="4" t="s">
        <v>199</v>
      </c>
      <c r="H66" s="4" t="s">
        <v>204</v>
      </c>
      <c r="I66" s="4" t="s">
        <v>248</v>
      </c>
      <c r="J66" s="4" t="s">
        <v>195</v>
      </c>
      <c r="K66" s="4" t="s">
        <v>196</v>
      </c>
    </row>
    <row r="67" spans="1:11" ht="15.75" customHeight="1" x14ac:dyDescent="0.25">
      <c r="A67" s="4" t="s">
        <v>193</v>
      </c>
      <c r="B67" s="4" t="s">
        <v>282</v>
      </c>
      <c r="C67" s="4" t="s">
        <v>283</v>
      </c>
      <c r="E67" s="4">
        <v>1</v>
      </c>
      <c r="F67" s="4">
        <v>1</v>
      </c>
      <c r="G67" s="4" t="s">
        <v>199</v>
      </c>
      <c r="H67" s="4" t="s">
        <v>204</v>
      </c>
      <c r="I67" s="4" t="s">
        <v>201</v>
      </c>
      <c r="J67" s="4" t="s">
        <v>195</v>
      </c>
      <c r="K67" s="4" t="s">
        <v>196</v>
      </c>
    </row>
    <row r="68" spans="1:11" ht="15.75" customHeight="1" x14ac:dyDescent="0.25">
      <c r="A68" s="4" t="s">
        <v>193</v>
      </c>
      <c r="B68" s="4" t="s">
        <v>284</v>
      </c>
      <c r="C68" s="4" t="s">
        <v>283</v>
      </c>
      <c r="E68" s="4">
        <v>1</v>
      </c>
      <c r="F68" s="4">
        <v>1</v>
      </c>
      <c r="G68" s="4" t="s">
        <v>199</v>
      </c>
      <c r="H68" s="4" t="s">
        <v>204</v>
      </c>
      <c r="I68" s="4" t="s">
        <v>206</v>
      </c>
      <c r="J68" s="4" t="s">
        <v>195</v>
      </c>
      <c r="K68" s="4" t="s">
        <v>196</v>
      </c>
    </row>
    <row r="69" spans="1:11" ht="15.75" customHeight="1" x14ac:dyDescent="0.25">
      <c r="A69" s="4" t="s">
        <v>193</v>
      </c>
      <c r="B69" s="4" t="s">
        <v>285</v>
      </c>
      <c r="C69" s="4" t="s">
        <v>283</v>
      </c>
      <c r="E69" s="4">
        <v>1</v>
      </c>
      <c r="F69" s="4">
        <v>1</v>
      </c>
      <c r="G69" s="4" t="s">
        <v>199</v>
      </c>
      <c r="H69" s="4" t="s">
        <v>200</v>
      </c>
      <c r="I69" s="4" t="s">
        <v>206</v>
      </c>
      <c r="J69" s="4" t="s">
        <v>195</v>
      </c>
      <c r="K69" s="4" t="s">
        <v>196</v>
      </c>
    </row>
    <row r="70" spans="1:11" ht="15.75" customHeight="1" x14ac:dyDescent="0.25">
      <c r="A70" s="4" t="s">
        <v>193</v>
      </c>
      <c r="B70" s="4" t="s">
        <v>286</v>
      </c>
      <c r="C70" s="4" t="s">
        <v>283</v>
      </c>
      <c r="E70" s="4">
        <v>1</v>
      </c>
      <c r="F70" s="4">
        <v>1</v>
      </c>
      <c r="G70" s="4" t="s">
        <v>199</v>
      </c>
      <c r="H70" s="4" t="s">
        <v>204</v>
      </c>
      <c r="I70" s="4" t="s">
        <v>206</v>
      </c>
      <c r="J70" s="4" t="s">
        <v>195</v>
      </c>
      <c r="K70" s="4" t="s">
        <v>196</v>
      </c>
    </row>
    <row r="71" spans="1:11" ht="15.75" customHeight="1" x14ac:dyDescent="0.25">
      <c r="A71" s="4" t="s">
        <v>193</v>
      </c>
      <c r="B71" s="4" t="s">
        <v>287</v>
      </c>
      <c r="C71" s="4" t="s">
        <v>283</v>
      </c>
      <c r="E71" s="4">
        <v>1</v>
      </c>
      <c r="F71" s="4">
        <v>1</v>
      </c>
      <c r="G71" s="4" t="s">
        <v>199</v>
      </c>
      <c r="H71" s="4" t="s">
        <v>204</v>
      </c>
      <c r="I71" s="4" t="s">
        <v>210</v>
      </c>
      <c r="J71" s="4" t="s">
        <v>195</v>
      </c>
      <c r="K71" s="4" t="s">
        <v>196</v>
      </c>
    </row>
    <row r="72" spans="1:11" ht="15.75" customHeight="1" x14ac:dyDescent="0.25">
      <c r="A72" s="4" t="s">
        <v>193</v>
      </c>
      <c r="B72" s="4" t="s">
        <v>288</v>
      </c>
      <c r="C72" s="4" t="s">
        <v>283</v>
      </c>
      <c r="E72" s="4">
        <v>1</v>
      </c>
      <c r="F72" s="4">
        <v>1</v>
      </c>
      <c r="G72" s="4" t="s">
        <v>199</v>
      </c>
      <c r="H72" s="4" t="s">
        <v>204</v>
      </c>
      <c r="I72" s="4" t="s">
        <v>216</v>
      </c>
      <c r="J72" s="4" t="s">
        <v>195</v>
      </c>
      <c r="K72" s="4" t="s">
        <v>196</v>
      </c>
    </row>
    <row r="73" spans="1:11" ht="15.75" customHeight="1" x14ac:dyDescent="0.25">
      <c r="A73" s="4" t="s">
        <v>193</v>
      </c>
      <c r="B73" s="4" t="s">
        <v>289</v>
      </c>
      <c r="C73" s="4" t="s">
        <v>283</v>
      </c>
      <c r="E73" s="4">
        <v>1</v>
      </c>
      <c r="F73" s="4">
        <v>1</v>
      </c>
      <c r="G73" s="4" t="s">
        <v>199</v>
      </c>
      <c r="H73" s="4" t="s">
        <v>204</v>
      </c>
      <c r="I73" s="4" t="s">
        <v>216</v>
      </c>
      <c r="J73" s="4" t="s">
        <v>195</v>
      </c>
      <c r="K73" s="4" t="s">
        <v>196</v>
      </c>
    </row>
    <row r="74" spans="1:11" ht="15.75" customHeight="1" x14ac:dyDescent="0.25">
      <c r="A74" s="4" t="s">
        <v>193</v>
      </c>
      <c r="B74" s="4" t="s">
        <v>290</v>
      </c>
      <c r="C74" s="4" t="s">
        <v>283</v>
      </c>
      <c r="E74" s="4">
        <v>1</v>
      </c>
      <c r="F74" s="4">
        <v>1</v>
      </c>
      <c r="G74" s="4" t="s">
        <v>199</v>
      </c>
      <c r="H74" s="4" t="s">
        <v>229</v>
      </c>
      <c r="I74" s="4" t="s">
        <v>206</v>
      </c>
      <c r="J74" s="4" t="s">
        <v>195</v>
      </c>
      <c r="K74" s="4" t="s">
        <v>196</v>
      </c>
    </row>
    <row r="75" spans="1:11" ht="15.75" customHeight="1" x14ac:dyDescent="0.25">
      <c r="A75" s="4" t="s">
        <v>193</v>
      </c>
      <c r="B75" s="4" t="s">
        <v>291</v>
      </c>
      <c r="C75" s="4" t="s">
        <v>283</v>
      </c>
      <c r="E75" s="4">
        <v>1</v>
      </c>
      <c r="F75" s="4">
        <v>1</v>
      </c>
      <c r="G75" s="4" t="s">
        <v>199</v>
      </c>
      <c r="H75" s="4" t="s">
        <v>204</v>
      </c>
      <c r="I75" s="4" t="s">
        <v>206</v>
      </c>
      <c r="J75" s="4" t="s">
        <v>195</v>
      </c>
      <c r="K75" s="4" t="s">
        <v>196</v>
      </c>
    </row>
    <row r="76" spans="1:11" ht="15.75" customHeight="1" x14ac:dyDescent="0.25">
      <c r="A76" s="4" t="s">
        <v>193</v>
      </c>
      <c r="B76" s="4" t="s">
        <v>292</v>
      </c>
      <c r="C76" s="4" t="s">
        <v>283</v>
      </c>
      <c r="E76" s="4">
        <v>1</v>
      </c>
      <c r="F76" s="4">
        <v>1</v>
      </c>
      <c r="G76" s="4" t="s">
        <v>199</v>
      </c>
      <c r="H76" s="4" t="s">
        <v>229</v>
      </c>
      <c r="I76" s="4" t="s">
        <v>206</v>
      </c>
      <c r="J76" s="4" t="s">
        <v>195</v>
      </c>
      <c r="K76" s="4" t="s">
        <v>196</v>
      </c>
    </row>
    <row r="77" spans="1:11" ht="15.75" customHeight="1" x14ac:dyDescent="0.25">
      <c r="A77" s="4" t="s">
        <v>193</v>
      </c>
      <c r="B77" s="4" t="s">
        <v>293</v>
      </c>
      <c r="C77" s="4" t="s">
        <v>283</v>
      </c>
      <c r="E77" s="4">
        <v>1</v>
      </c>
      <c r="F77" s="4">
        <v>1</v>
      </c>
      <c r="G77" s="4" t="s">
        <v>199</v>
      </c>
      <c r="H77" s="4" t="s">
        <v>204</v>
      </c>
      <c r="I77" s="4" t="s">
        <v>206</v>
      </c>
      <c r="J77" s="4" t="s">
        <v>195</v>
      </c>
      <c r="K77" s="4" t="s">
        <v>196</v>
      </c>
    </row>
    <row r="78" spans="1:11" ht="15.75" customHeight="1" x14ac:dyDescent="0.25">
      <c r="A78" s="4" t="s">
        <v>193</v>
      </c>
      <c r="B78" s="4" t="s">
        <v>294</v>
      </c>
      <c r="C78" s="4" t="s">
        <v>283</v>
      </c>
      <c r="E78" s="4">
        <v>1</v>
      </c>
      <c r="F78" s="4">
        <v>1</v>
      </c>
      <c r="G78" s="4" t="s">
        <v>199</v>
      </c>
      <c r="H78" s="4" t="s">
        <v>204</v>
      </c>
      <c r="I78" s="4" t="s">
        <v>206</v>
      </c>
      <c r="J78" s="4" t="s">
        <v>195</v>
      </c>
      <c r="K78" s="4" t="s">
        <v>196</v>
      </c>
    </row>
    <row r="79" spans="1:11" ht="15.75" customHeight="1" x14ac:dyDescent="0.25">
      <c r="A79" s="4" t="s">
        <v>193</v>
      </c>
      <c r="B79" s="4" t="s">
        <v>295</v>
      </c>
      <c r="C79" s="4" t="s">
        <v>283</v>
      </c>
      <c r="E79" s="4">
        <v>1</v>
      </c>
      <c r="F79" s="4">
        <v>1</v>
      </c>
      <c r="G79" s="4" t="s">
        <v>199</v>
      </c>
      <c r="H79" s="4" t="s">
        <v>204</v>
      </c>
      <c r="I79" s="4" t="s">
        <v>216</v>
      </c>
      <c r="J79" s="4" t="s">
        <v>195</v>
      </c>
      <c r="K79" s="4" t="s">
        <v>196</v>
      </c>
    </row>
    <row r="80" spans="1:11" ht="15.75" customHeight="1" x14ac:dyDescent="0.25">
      <c r="A80" s="4" t="s">
        <v>193</v>
      </c>
      <c r="B80" s="4" t="s">
        <v>296</v>
      </c>
      <c r="C80" s="4" t="s">
        <v>283</v>
      </c>
      <c r="E80" s="4">
        <v>1</v>
      </c>
      <c r="F80" s="4">
        <v>1</v>
      </c>
      <c r="G80" s="4" t="s">
        <v>199</v>
      </c>
      <c r="H80" s="4" t="s">
        <v>204</v>
      </c>
      <c r="I80" s="4" t="s">
        <v>216</v>
      </c>
      <c r="J80" s="4" t="s">
        <v>195</v>
      </c>
      <c r="K80" s="4" t="s">
        <v>196</v>
      </c>
    </row>
    <row r="81" spans="1:11" ht="15.75" customHeight="1" x14ac:dyDescent="0.25">
      <c r="A81" s="4" t="s">
        <v>193</v>
      </c>
      <c r="B81" s="4" t="s">
        <v>297</v>
      </c>
      <c r="C81" s="4" t="s">
        <v>283</v>
      </c>
      <c r="E81" s="4">
        <v>1</v>
      </c>
      <c r="F81" s="4">
        <v>1</v>
      </c>
      <c r="G81" s="4" t="s">
        <v>199</v>
      </c>
      <c r="H81" s="4" t="s">
        <v>229</v>
      </c>
      <c r="I81" s="4" t="s">
        <v>206</v>
      </c>
      <c r="J81" s="4" t="s">
        <v>195</v>
      </c>
      <c r="K81" s="4" t="s">
        <v>196</v>
      </c>
    </row>
    <row r="82" spans="1:11" ht="15.75" customHeight="1" x14ac:dyDescent="0.25">
      <c r="A82" s="4" t="s">
        <v>193</v>
      </c>
      <c r="B82" s="4" t="s">
        <v>298</v>
      </c>
      <c r="C82" s="4" t="s">
        <v>283</v>
      </c>
      <c r="E82" s="4">
        <v>1</v>
      </c>
      <c r="F82" s="4">
        <v>1</v>
      </c>
      <c r="G82" s="4" t="s">
        <v>199</v>
      </c>
      <c r="H82" s="4" t="s">
        <v>204</v>
      </c>
      <c r="I82" s="4" t="s">
        <v>206</v>
      </c>
      <c r="J82" s="4" t="s">
        <v>195</v>
      </c>
      <c r="K82" s="4" t="s">
        <v>196</v>
      </c>
    </row>
    <row r="83" spans="1:11" ht="15.75" customHeight="1" x14ac:dyDescent="0.25">
      <c r="A83" s="4" t="s">
        <v>193</v>
      </c>
      <c r="B83" s="4" t="s">
        <v>299</v>
      </c>
      <c r="C83" s="4" t="s">
        <v>283</v>
      </c>
      <c r="E83" s="4">
        <v>1</v>
      </c>
      <c r="F83" s="4">
        <v>1</v>
      </c>
      <c r="G83" s="4" t="s">
        <v>199</v>
      </c>
      <c r="H83" s="4" t="s">
        <v>229</v>
      </c>
      <c r="I83" s="4" t="s">
        <v>206</v>
      </c>
      <c r="J83" s="4" t="s">
        <v>195</v>
      </c>
      <c r="K83" s="4" t="s">
        <v>196</v>
      </c>
    </row>
    <row r="84" spans="1:11" ht="15.75" customHeight="1" x14ac:dyDescent="0.25">
      <c r="A84" s="4" t="s">
        <v>193</v>
      </c>
      <c r="B84" s="4" t="s">
        <v>300</v>
      </c>
      <c r="C84" s="4" t="s">
        <v>283</v>
      </c>
      <c r="E84" s="4">
        <v>1</v>
      </c>
      <c r="F84" s="4">
        <v>1</v>
      </c>
      <c r="G84" s="4" t="s">
        <v>199</v>
      </c>
      <c r="H84" s="4" t="s">
        <v>204</v>
      </c>
      <c r="I84" s="4" t="s">
        <v>210</v>
      </c>
      <c r="J84" s="4" t="s">
        <v>195</v>
      </c>
      <c r="K84" s="4" t="s">
        <v>196</v>
      </c>
    </row>
    <row r="85" spans="1:11" ht="15.75" customHeight="1" x14ac:dyDescent="0.25">
      <c r="A85" s="4" t="s">
        <v>193</v>
      </c>
      <c r="B85" s="4" t="s">
        <v>301</v>
      </c>
      <c r="C85" s="4" t="s">
        <v>283</v>
      </c>
      <c r="E85" s="4">
        <v>1</v>
      </c>
      <c r="F85" s="4">
        <v>1</v>
      </c>
      <c r="G85" s="4" t="s">
        <v>199</v>
      </c>
      <c r="H85" s="4" t="s">
        <v>204</v>
      </c>
      <c r="I85" s="4" t="s">
        <v>210</v>
      </c>
      <c r="J85" s="4" t="s">
        <v>195</v>
      </c>
      <c r="K85" s="4" t="s">
        <v>196</v>
      </c>
    </row>
    <row r="86" spans="1:11" ht="15.75" customHeight="1" x14ac:dyDescent="0.25">
      <c r="A86" s="4" t="s">
        <v>193</v>
      </c>
      <c r="B86" s="4" t="s">
        <v>302</v>
      </c>
      <c r="C86" s="4" t="s">
        <v>303</v>
      </c>
      <c r="E86" s="4">
        <v>1</v>
      </c>
      <c r="F86" s="4">
        <v>1</v>
      </c>
      <c r="G86" s="4" t="s">
        <v>199</v>
      </c>
      <c r="H86" s="4" t="s">
        <v>200</v>
      </c>
      <c r="I86" s="4" t="s">
        <v>201</v>
      </c>
      <c r="J86" s="4" t="s">
        <v>195</v>
      </c>
      <c r="K86" s="4" t="s">
        <v>196</v>
      </c>
    </row>
    <row r="87" spans="1:11" ht="15.75" customHeight="1" x14ac:dyDescent="0.25">
      <c r="A87" s="4" t="s">
        <v>193</v>
      </c>
      <c r="B87" s="4" t="s">
        <v>304</v>
      </c>
      <c r="C87" s="4" t="s">
        <v>305</v>
      </c>
      <c r="E87" s="4">
        <v>1</v>
      </c>
      <c r="F87" s="4">
        <v>1</v>
      </c>
      <c r="G87" s="4" t="s">
        <v>199</v>
      </c>
      <c r="H87" s="4" t="s">
        <v>204</v>
      </c>
      <c r="I87" s="4" t="s">
        <v>210</v>
      </c>
      <c r="J87" s="4" t="s">
        <v>195</v>
      </c>
      <c r="K87" s="4" t="s">
        <v>196</v>
      </c>
    </row>
    <row r="88" spans="1:11" ht="15.75" customHeight="1" x14ac:dyDescent="0.25">
      <c r="A88" s="4" t="s">
        <v>193</v>
      </c>
      <c r="B88" s="4" t="s">
        <v>306</v>
      </c>
      <c r="C88" s="4" t="s">
        <v>305</v>
      </c>
      <c r="E88" s="4">
        <v>1</v>
      </c>
      <c r="F88" s="4">
        <v>1</v>
      </c>
      <c r="G88" s="4" t="s">
        <v>199</v>
      </c>
      <c r="H88" s="4" t="s">
        <v>204</v>
      </c>
      <c r="I88" s="4" t="s">
        <v>210</v>
      </c>
      <c r="J88" s="4" t="s">
        <v>195</v>
      </c>
      <c r="K88" s="4" t="s">
        <v>196</v>
      </c>
    </row>
    <row r="89" spans="1:11" ht="15.75" customHeight="1" x14ac:dyDescent="0.25">
      <c r="A89" s="4" t="s">
        <v>193</v>
      </c>
      <c r="B89" s="4" t="s">
        <v>307</v>
      </c>
      <c r="C89" s="4" t="s">
        <v>308</v>
      </c>
      <c r="E89" s="4">
        <v>1</v>
      </c>
      <c r="F89" s="4">
        <v>1</v>
      </c>
      <c r="G89" s="4" t="s">
        <v>199</v>
      </c>
      <c r="H89" s="4" t="s">
        <v>204</v>
      </c>
      <c r="I89" s="4" t="s">
        <v>201</v>
      </c>
      <c r="J89" s="4" t="s">
        <v>195</v>
      </c>
      <c r="K89" s="4" t="s">
        <v>196</v>
      </c>
    </row>
    <row r="90" spans="1:11" ht="15.75" customHeight="1" x14ac:dyDescent="0.25">
      <c r="A90" s="4" t="s">
        <v>193</v>
      </c>
      <c r="B90" s="4" t="s">
        <v>309</v>
      </c>
      <c r="C90" s="4" t="s">
        <v>308</v>
      </c>
      <c r="E90" s="4">
        <v>1</v>
      </c>
      <c r="F90" s="4">
        <v>1</v>
      </c>
      <c r="G90" s="4" t="s">
        <v>199</v>
      </c>
      <c r="H90" s="4" t="s">
        <v>204</v>
      </c>
      <c r="I90" s="4" t="s">
        <v>248</v>
      </c>
      <c r="J90" s="4" t="s">
        <v>195</v>
      </c>
      <c r="K90" s="4" t="s">
        <v>196</v>
      </c>
    </row>
    <row r="91" spans="1:11" ht="15.75" customHeight="1" x14ac:dyDescent="0.25">
      <c r="A91" s="4" t="s">
        <v>193</v>
      </c>
      <c r="B91" s="4" t="s">
        <v>310</v>
      </c>
      <c r="C91" s="4" t="s">
        <v>308</v>
      </c>
      <c r="E91" s="4">
        <v>1</v>
      </c>
      <c r="F91" s="4">
        <v>1</v>
      </c>
      <c r="G91" s="4" t="s">
        <v>199</v>
      </c>
      <c r="H91" s="4" t="s">
        <v>204</v>
      </c>
      <c r="I91" s="4" t="s">
        <v>216</v>
      </c>
      <c r="J91" s="4" t="s">
        <v>195</v>
      </c>
      <c r="K91" s="4" t="s">
        <v>196</v>
      </c>
    </row>
    <row r="92" spans="1:11" ht="15.75" customHeight="1" x14ac:dyDescent="0.25">
      <c r="A92" s="4" t="s">
        <v>193</v>
      </c>
      <c r="B92" s="4" t="s">
        <v>311</v>
      </c>
      <c r="C92" s="4" t="s">
        <v>308</v>
      </c>
      <c r="E92" s="4">
        <v>1</v>
      </c>
      <c r="F92" s="4">
        <v>1</v>
      </c>
      <c r="G92" s="4" t="s">
        <v>199</v>
      </c>
      <c r="H92" s="4" t="s">
        <v>204</v>
      </c>
      <c r="I92" s="4" t="s">
        <v>216</v>
      </c>
      <c r="J92" s="4" t="s">
        <v>195</v>
      </c>
      <c r="K92" s="4" t="s">
        <v>196</v>
      </c>
    </row>
    <row r="93" spans="1:11" ht="15.75" customHeight="1" x14ac:dyDescent="0.25">
      <c r="A93" s="4" t="s">
        <v>193</v>
      </c>
      <c r="B93" s="4" t="s">
        <v>312</v>
      </c>
      <c r="C93" s="4" t="s">
        <v>308</v>
      </c>
      <c r="E93" s="4">
        <v>1</v>
      </c>
      <c r="F93" s="4">
        <v>1</v>
      </c>
      <c r="G93" s="4" t="s">
        <v>199</v>
      </c>
      <c r="H93" s="4" t="s">
        <v>204</v>
      </c>
      <c r="I93" s="4" t="s">
        <v>206</v>
      </c>
      <c r="J93" s="4" t="s">
        <v>195</v>
      </c>
      <c r="K93" s="4" t="s">
        <v>196</v>
      </c>
    </row>
    <row r="94" spans="1:11" ht="15.75" customHeight="1" x14ac:dyDescent="0.25">
      <c r="A94" s="4" t="s">
        <v>193</v>
      </c>
      <c r="B94" s="4" t="s">
        <v>313</v>
      </c>
      <c r="C94" s="4" t="s">
        <v>308</v>
      </c>
      <c r="E94" s="4">
        <v>1</v>
      </c>
      <c r="F94" s="4">
        <v>1</v>
      </c>
      <c r="G94" s="4" t="s">
        <v>199</v>
      </c>
      <c r="H94" s="4" t="s">
        <v>204</v>
      </c>
      <c r="I94" s="4" t="s">
        <v>206</v>
      </c>
      <c r="J94" s="4" t="s">
        <v>195</v>
      </c>
      <c r="K94" s="4" t="s">
        <v>196</v>
      </c>
    </row>
    <row r="95" spans="1:11" ht="15.75" customHeight="1" x14ac:dyDescent="0.25">
      <c r="A95" s="4" t="s">
        <v>193</v>
      </c>
      <c r="B95" s="4" t="s">
        <v>314</v>
      </c>
      <c r="C95" s="4" t="s">
        <v>308</v>
      </c>
      <c r="E95" s="4">
        <v>1</v>
      </c>
      <c r="F95" s="4">
        <v>1</v>
      </c>
      <c r="G95" s="4" t="s">
        <v>199</v>
      </c>
      <c r="H95" s="4" t="s">
        <v>204</v>
      </c>
      <c r="I95" s="4" t="s">
        <v>206</v>
      </c>
      <c r="J95" s="4" t="s">
        <v>195</v>
      </c>
      <c r="K95" s="4" t="s">
        <v>196</v>
      </c>
    </row>
    <row r="96" spans="1:11" ht="15.75" customHeight="1" x14ac:dyDescent="0.25">
      <c r="A96" s="4" t="s">
        <v>193</v>
      </c>
      <c r="B96" s="4" t="s">
        <v>315</v>
      </c>
      <c r="C96" s="4" t="s">
        <v>308</v>
      </c>
      <c r="E96" s="4">
        <v>1</v>
      </c>
      <c r="F96" s="4">
        <v>1</v>
      </c>
      <c r="G96" s="4" t="s">
        <v>199</v>
      </c>
      <c r="H96" s="4" t="s">
        <v>204</v>
      </c>
      <c r="I96" s="4" t="s">
        <v>216</v>
      </c>
      <c r="J96" s="4" t="s">
        <v>195</v>
      </c>
      <c r="K96" s="4" t="s">
        <v>196</v>
      </c>
    </row>
    <row r="97" spans="1:11" ht="15.75" customHeight="1" x14ac:dyDescent="0.25">
      <c r="A97" s="4" t="s">
        <v>193</v>
      </c>
      <c r="B97" s="4" t="s">
        <v>316</v>
      </c>
      <c r="C97" s="4" t="s">
        <v>308</v>
      </c>
      <c r="E97" s="4">
        <v>1</v>
      </c>
      <c r="F97" s="4">
        <v>1</v>
      </c>
      <c r="G97" s="4" t="s">
        <v>199</v>
      </c>
      <c r="H97" s="4" t="s">
        <v>204</v>
      </c>
      <c r="I97" s="4" t="s">
        <v>216</v>
      </c>
      <c r="J97" s="4" t="s">
        <v>195</v>
      </c>
      <c r="K97" s="4" t="s">
        <v>196</v>
      </c>
    </row>
    <row r="98" spans="1:11" ht="15.75" customHeight="1" x14ac:dyDescent="0.25">
      <c r="A98" s="4" t="s">
        <v>193</v>
      </c>
      <c r="B98" s="4" t="s">
        <v>317</v>
      </c>
      <c r="C98" s="4" t="s">
        <v>308</v>
      </c>
      <c r="E98" s="4">
        <v>1</v>
      </c>
      <c r="F98" s="4">
        <v>1</v>
      </c>
      <c r="G98" s="4" t="s">
        <v>199</v>
      </c>
      <c r="H98" s="4" t="s">
        <v>204</v>
      </c>
      <c r="I98" s="4" t="s">
        <v>206</v>
      </c>
      <c r="J98" s="4" t="s">
        <v>195</v>
      </c>
      <c r="K98" s="4" t="s">
        <v>196</v>
      </c>
    </row>
    <row r="99" spans="1:11" ht="15.75" customHeight="1" x14ac:dyDescent="0.25">
      <c r="A99" s="4" t="s">
        <v>193</v>
      </c>
      <c r="B99" s="4" t="s">
        <v>318</v>
      </c>
      <c r="C99" s="4" t="s">
        <v>319</v>
      </c>
      <c r="E99" s="4">
        <v>1</v>
      </c>
      <c r="F99" s="4">
        <v>1</v>
      </c>
      <c r="G99" s="4" t="s">
        <v>199</v>
      </c>
      <c r="H99" s="4" t="s">
        <v>204</v>
      </c>
      <c r="I99" s="4" t="s">
        <v>216</v>
      </c>
      <c r="J99" s="4" t="s">
        <v>195</v>
      </c>
      <c r="K99" s="4" t="s">
        <v>196</v>
      </c>
    </row>
    <row r="100" spans="1:11" ht="15.75" customHeight="1" x14ac:dyDescent="0.25">
      <c r="A100" s="4" t="s">
        <v>193</v>
      </c>
      <c r="B100" s="4" t="s">
        <v>320</v>
      </c>
      <c r="C100" s="4" t="s">
        <v>319</v>
      </c>
      <c r="E100" s="4">
        <v>1</v>
      </c>
      <c r="F100" s="4">
        <v>1</v>
      </c>
      <c r="G100" s="4" t="s">
        <v>199</v>
      </c>
      <c r="H100" s="4" t="s">
        <v>204</v>
      </c>
      <c r="I100" s="4" t="s">
        <v>216</v>
      </c>
      <c r="J100" s="4" t="s">
        <v>195</v>
      </c>
      <c r="K100" s="4" t="s">
        <v>196</v>
      </c>
    </row>
    <row r="101" spans="1:11" ht="15.75" customHeight="1" x14ac:dyDescent="0.25">
      <c r="A101" s="4" t="s">
        <v>193</v>
      </c>
      <c r="B101" s="4" t="s">
        <v>321</v>
      </c>
      <c r="C101" s="4" t="s">
        <v>319</v>
      </c>
      <c r="E101" s="4">
        <v>1</v>
      </c>
      <c r="F101" s="4">
        <v>1</v>
      </c>
      <c r="G101" s="4" t="s">
        <v>199</v>
      </c>
      <c r="H101" s="4" t="s">
        <v>229</v>
      </c>
      <c r="I101" s="4" t="s">
        <v>206</v>
      </c>
      <c r="J101" s="4" t="s">
        <v>195</v>
      </c>
      <c r="K101" s="4" t="s">
        <v>196</v>
      </c>
    </row>
    <row r="102" spans="1:11" ht="15.75" customHeight="1" x14ac:dyDescent="0.25">
      <c r="A102" s="4" t="s">
        <v>193</v>
      </c>
      <c r="B102" s="4" t="s">
        <v>322</v>
      </c>
      <c r="C102" s="4" t="s">
        <v>319</v>
      </c>
      <c r="E102" s="4">
        <v>1</v>
      </c>
      <c r="F102" s="4">
        <v>1</v>
      </c>
      <c r="G102" s="4" t="s">
        <v>199</v>
      </c>
      <c r="H102" s="4" t="s">
        <v>204</v>
      </c>
      <c r="I102" s="4" t="s">
        <v>206</v>
      </c>
      <c r="J102" s="4" t="s">
        <v>195</v>
      </c>
      <c r="K102" s="4" t="s">
        <v>196</v>
      </c>
    </row>
    <row r="103" spans="1:11" ht="15.75" customHeight="1" x14ac:dyDescent="0.25">
      <c r="A103" s="4" t="s">
        <v>193</v>
      </c>
      <c r="B103" s="4" t="s">
        <v>323</v>
      </c>
      <c r="C103" s="4" t="s">
        <v>319</v>
      </c>
      <c r="E103" s="4">
        <v>1</v>
      </c>
      <c r="F103" s="4">
        <v>1</v>
      </c>
      <c r="G103" s="4" t="s">
        <v>199</v>
      </c>
      <c r="H103" s="4" t="s">
        <v>229</v>
      </c>
      <c r="I103" s="4" t="s">
        <v>206</v>
      </c>
      <c r="J103" s="4" t="s">
        <v>195</v>
      </c>
      <c r="K103" s="4" t="s">
        <v>196</v>
      </c>
    </row>
    <row r="104" spans="1:11" ht="15.75" customHeight="1" x14ac:dyDescent="0.25">
      <c r="A104" s="4" t="s">
        <v>193</v>
      </c>
      <c r="B104" s="4" t="s">
        <v>324</v>
      </c>
      <c r="C104" s="4" t="s">
        <v>325</v>
      </c>
      <c r="E104" s="4">
        <v>1</v>
      </c>
      <c r="F104" s="4">
        <v>1</v>
      </c>
      <c r="G104" s="4" t="s">
        <v>199</v>
      </c>
      <c r="H104" s="4" t="s">
        <v>204</v>
      </c>
      <c r="I104" s="4" t="s">
        <v>216</v>
      </c>
      <c r="J104" s="4" t="s">
        <v>195</v>
      </c>
      <c r="K104" s="4" t="s">
        <v>196</v>
      </c>
    </row>
    <row r="105" spans="1:11" ht="15.75" customHeight="1" x14ac:dyDescent="0.25">
      <c r="A105" s="4" t="s">
        <v>193</v>
      </c>
      <c r="B105" s="4" t="s">
        <v>326</v>
      </c>
      <c r="C105" s="4" t="s">
        <v>325</v>
      </c>
      <c r="E105" s="4">
        <v>1</v>
      </c>
      <c r="F105" s="4">
        <v>1</v>
      </c>
      <c r="G105" s="4" t="s">
        <v>199</v>
      </c>
      <c r="H105" s="4" t="s">
        <v>204</v>
      </c>
      <c r="I105" s="4" t="s">
        <v>216</v>
      </c>
      <c r="J105" s="4" t="s">
        <v>195</v>
      </c>
      <c r="K105" s="4" t="s">
        <v>196</v>
      </c>
    </row>
    <row r="106" spans="1:11" ht="15.75" customHeight="1" x14ac:dyDescent="0.25">
      <c r="A106" s="4" t="s">
        <v>193</v>
      </c>
      <c r="B106" s="4" t="s">
        <v>327</v>
      </c>
      <c r="C106" s="4" t="s">
        <v>325</v>
      </c>
      <c r="E106" s="4">
        <v>1</v>
      </c>
      <c r="F106" s="4">
        <v>1</v>
      </c>
      <c r="G106" s="4" t="s">
        <v>199</v>
      </c>
      <c r="H106" s="4" t="s">
        <v>229</v>
      </c>
      <c r="I106" s="4" t="s">
        <v>206</v>
      </c>
      <c r="J106" s="4" t="s">
        <v>195</v>
      </c>
      <c r="K106" s="4" t="s">
        <v>196</v>
      </c>
    </row>
    <row r="107" spans="1:11" ht="15.75" customHeight="1" x14ac:dyDescent="0.25">
      <c r="A107" s="4" t="s">
        <v>193</v>
      </c>
      <c r="B107" s="4" t="s">
        <v>328</v>
      </c>
      <c r="C107" s="4" t="s">
        <v>325</v>
      </c>
      <c r="E107" s="4">
        <v>1</v>
      </c>
      <c r="F107" s="4">
        <v>1</v>
      </c>
      <c r="G107" s="4" t="s">
        <v>199</v>
      </c>
      <c r="H107" s="4" t="s">
        <v>204</v>
      </c>
      <c r="I107" s="4" t="s">
        <v>206</v>
      </c>
      <c r="J107" s="4" t="s">
        <v>195</v>
      </c>
      <c r="K107" s="4" t="s">
        <v>196</v>
      </c>
    </row>
    <row r="108" spans="1:11" ht="15.75" customHeight="1" x14ac:dyDescent="0.25">
      <c r="A108" s="4" t="s">
        <v>193</v>
      </c>
      <c r="B108" s="4" t="s">
        <v>329</v>
      </c>
      <c r="C108" s="4" t="s">
        <v>325</v>
      </c>
      <c r="E108" s="4">
        <v>1</v>
      </c>
      <c r="F108" s="4">
        <v>1</v>
      </c>
      <c r="G108" s="4" t="s">
        <v>199</v>
      </c>
      <c r="H108" s="4" t="s">
        <v>229</v>
      </c>
      <c r="I108" s="4" t="s">
        <v>206</v>
      </c>
      <c r="J108" s="4" t="s">
        <v>195</v>
      </c>
      <c r="K108" s="4" t="s">
        <v>196</v>
      </c>
    </row>
    <row r="109" spans="1:11" ht="15.75" customHeight="1" x14ac:dyDescent="0.25">
      <c r="A109" s="4" t="s">
        <v>193</v>
      </c>
      <c r="B109" s="4" t="s">
        <v>330</v>
      </c>
      <c r="C109" s="4" t="s">
        <v>325</v>
      </c>
      <c r="E109" s="4">
        <v>1</v>
      </c>
      <c r="F109" s="4">
        <v>1</v>
      </c>
      <c r="G109" s="4" t="s">
        <v>199</v>
      </c>
      <c r="H109" s="4" t="s">
        <v>204</v>
      </c>
      <c r="I109" s="4" t="s">
        <v>206</v>
      </c>
      <c r="J109" s="4" t="s">
        <v>195</v>
      </c>
      <c r="K109" s="4" t="s">
        <v>196</v>
      </c>
    </row>
    <row r="110" spans="1:11" ht="15.75" customHeight="1" x14ac:dyDescent="0.25">
      <c r="A110" s="4" t="s">
        <v>193</v>
      </c>
      <c r="B110" s="4" t="s">
        <v>331</v>
      </c>
      <c r="C110" s="4" t="s">
        <v>325</v>
      </c>
      <c r="E110" s="4">
        <v>1</v>
      </c>
      <c r="F110" s="4">
        <v>1</v>
      </c>
      <c r="G110" s="4" t="s">
        <v>199</v>
      </c>
      <c r="H110" s="4" t="s">
        <v>204</v>
      </c>
      <c r="I110" s="4" t="s">
        <v>206</v>
      </c>
      <c r="J110" s="4" t="s">
        <v>195</v>
      </c>
      <c r="K110" s="4" t="s">
        <v>196</v>
      </c>
    </row>
    <row r="111" spans="1:11" ht="15.75" customHeight="1" x14ac:dyDescent="0.25">
      <c r="A111" s="4" t="s">
        <v>193</v>
      </c>
      <c r="B111" s="4" t="s">
        <v>332</v>
      </c>
      <c r="C111" s="4" t="s">
        <v>325</v>
      </c>
      <c r="E111" s="4">
        <v>1</v>
      </c>
      <c r="F111" s="4">
        <v>1</v>
      </c>
      <c r="G111" s="4" t="s">
        <v>199</v>
      </c>
      <c r="H111" s="4" t="s">
        <v>204</v>
      </c>
      <c r="I111" s="4" t="s">
        <v>216</v>
      </c>
      <c r="J111" s="4" t="s">
        <v>195</v>
      </c>
      <c r="K111" s="4" t="s">
        <v>196</v>
      </c>
    </row>
    <row r="112" spans="1:11" ht="15.75" customHeight="1" x14ac:dyDescent="0.25">
      <c r="A112" s="4" t="s">
        <v>193</v>
      </c>
      <c r="B112" s="4" t="s">
        <v>333</v>
      </c>
      <c r="C112" s="4" t="s">
        <v>325</v>
      </c>
      <c r="E112" s="4">
        <v>1</v>
      </c>
      <c r="F112" s="4">
        <v>1</v>
      </c>
      <c r="G112" s="4" t="s">
        <v>199</v>
      </c>
      <c r="H112" s="4" t="s">
        <v>204</v>
      </c>
      <c r="I112" s="4" t="s">
        <v>216</v>
      </c>
      <c r="J112" s="4" t="s">
        <v>195</v>
      </c>
      <c r="K112" s="4" t="s">
        <v>196</v>
      </c>
    </row>
    <row r="113" spans="1:11" ht="15.75" customHeight="1" x14ac:dyDescent="0.25">
      <c r="A113" s="4" t="s">
        <v>193</v>
      </c>
      <c r="B113" s="4" t="s">
        <v>334</v>
      </c>
      <c r="C113" s="4" t="s">
        <v>325</v>
      </c>
      <c r="E113" s="4">
        <v>1</v>
      </c>
      <c r="F113" s="4">
        <v>1</v>
      </c>
      <c r="G113" s="4" t="s">
        <v>199</v>
      </c>
      <c r="H113" s="4" t="s">
        <v>229</v>
      </c>
      <c r="I113" s="4" t="s">
        <v>206</v>
      </c>
      <c r="J113" s="4" t="s">
        <v>195</v>
      </c>
      <c r="K113" s="4" t="s">
        <v>196</v>
      </c>
    </row>
    <row r="114" spans="1:11" ht="15.75" customHeight="1" x14ac:dyDescent="0.25">
      <c r="A114" s="4" t="s">
        <v>193</v>
      </c>
      <c r="B114" s="4" t="s">
        <v>335</v>
      </c>
      <c r="C114" s="4" t="s">
        <v>325</v>
      </c>
      <c r="E114" s="4">
        <v>1</v>
      </c>
      <c r="F114" s="4">
        <v>1</v>
      </c>
      <c r="G114" s="4" t="s">
        <v>199</v>
      </c>
      <c r="H114" s="4" t="s">
        <v>204</v>
      </c>
      <c r="I114" s="4" t="s">
        <v>206</v>
      </c>
      <c r="J114" s="4" t="s">
        <v>195</v>
      </c>
      <c r="K114" s="4" t="s">
        <v>196</v>
      </c>
    </row>
    <row r="115" spans="1:11" ht="15.75" customHeight="1" x14ac:dyDescent="0.25">
      <c r="A115" s="4" t="s">
        <v>193</v>
      </c>
      <c r="B115" s="4" t="s">
        <v>336</v>
      </c>
      <c r="C115" s="4" t="s">
        <v>325</v>
      </c>
      <c r="E115" s="4">
        <v>1</v>
      </c>
      <c r="F115" s="4">
        <v>1</v>
      </c>
      <c r="G115" s="4" t="s">
        <v>199</v>
      </c>
      <c r="H115" s="4" t="s">
        <v>229</v>
      </c>
      <c r="I115" s="4" t="s">
        <v>206</v>
      </c>
      <c r="J115" s="4" t="s">
        <v>195</v>
      </c>
      <c r="K115" s="4" t="s">
        <v>196</v>
      </c>
    </row>
    <row r="116" spans="1:11" ht="15.75" customHeight="1" x14ac:dyDescent="0.25">
      <c r="A116" s="4" t="s">
        <v>193</v>
      </c>
      <c r="B116" s="4" t="s">
        <v>337</v>
      </c>
      <c r="C116" s="4" t="s">
        <v>338</v>
      </c>
      <c r="E116" s="4">
        <v>1</v>
      </c>
      <c r="F116" s="4">
        <v>1</v>
      </c>
      <c r="G116" s="4" t="s">
        <v>199</v>
      </c>
      <c r="H116" s="4" t="s">
        <v>200</v>
      </c>
      <c r="I116" s="4" t="s">
        <v>206</v>
      </c>
      <c r="J116" s="4" t="s">
        <v>195</v>
      </c>
      <c r="K116" s="4" t="s">
        <v>196</v>
      </c>
    </row>
    <row r="117" spans="1:11" ht="15.75" customHeight="1" x14ac:dyDescent="0.25">
      <c r="A117" s="4" t="s">
        <v>193</v>
      </c>
      <c r="B117" s="4" t="s">
        <v>339</v>
      </c>
      <c r="C117" s="4" t="s">
        <v>340</v>
      </c>
      <c r="E117" s="4">
        <v>1</v>
      </c>
      <c r="F117" s="4">
        <v>1</v>
      </c>
      <c r="G117" s="4" t="s">
        <v>199</v>
      </c>
      <c r="H117" s="4" t="s">
        <v>200</v>
      </c>
      <c r="I117" s="4" t="s">
        <v>206</v>
      </c>
      <c r="J117" s="4" t="s">
        <v>195</v>
      </c>
      <c r="K117" s="4" t="s">
        <v>196</v>
      </c>
    </row>
    <row r="118" spans="1:11" ht="15.75" customHeight="1" x14ac:dyDescent="0.25">
      <c r="A118" s="4" t="s">
        <v>193</v>
      </c>
      <c r="B118" s="4" t="s">
        <v>341</v>
      </c>
      <c r="C118" s="4" t="s">
        <v>340</v>
      </c>
      <c r="E118" s="4">
        <v>1</v>
      </c>
      <c r="F118" s="4">
        <v>1</v>
      </c>
      <c r="G118" s="4" t="s">
        <v>199</v>
      </c>
      <c r="H118" s="4" t="s">
        <v>200</v>
      </c>
      <c r="I118" s="4" t="s">
        <v>206</v>
      </c>
      <c r="J118" s="4" t="s">
        <v>195</v>
      </c>
      <c r="K118" s="4" t="s">
        <v>196</v>
      </c>
    </row>
    <row r="119" spans="1:11" ht="15.75" customHeight="1" x14ac:dyDescent="0.25">
      <c r="A119" s="4" t="s">
        <v>193</v>
      </c>
      <c r="B119" s="4" t="s">
        <v>342</v>
      </c>
      <c r="C119" s="4" t="s">
        <v>340</v>
      </c>
      <c r="E119" s="4">
        <v>1</v>
      </c>
      <c r="F119" s="4">
        <v>1</v>
      </c>
      <c r="G119" s="4" t="s">
        <v>199</v>
      </c>
      <c r="H119" s="4" t="s">
        <v>200</v>
      </c>
      <c r="I119" s="4" t="s">
        <v>201</v>
      </c>
      <c r="J119" s="4" t="s">
        <v>195</v>
      </c>
      <c r="K119" s="4" t="s">
        <v>196</v>
      </c>
    </row>
    <row r="120" spans="1:11" ht="15.75" customHeight="1" x14ac:dyDescent="0.25">
      <c r="A120" s="4" t="s">
        <v>193</v>
      </c>
      <c r="B120" s="4" t="s">
        <v>343</v>
      </c>
      <c r="C120" s="4" t="s">
        <v>340</v>
      </c>
      <c r="E120" s="4">
        <v>1</v>
      </c>
      <c r="F120" s="4">
        <v>1</v>
      </c>
      <c r="G120" s="4" t="s">
        <v>199</v>
      </c>
      <c r="H120" s="4" t="s">
        <v>204</v>
      </c>
      <c r="I120" s="4" t="s">
        <v>216</v>
      </c>
      <c r="J120" s="4" t="s">
        <v>195</v>
      </c>
      <c r="K120" s="4" t="s">
        <v>196</v>
      </c>
    </row>
    <row r="121" spans="1:11" ht="15.75" customHeight="1" x14ac:dyDescent="0.25">
      <c r="A121" s="4" t="s">
        <v>193</v>
      </c>
      <c r="B121" s="4" t="s">
        <v>344</v>
      </c>
      <c r="C121" s="4" t="s">
        <v>340</v>
      </c>
      <c r="E121" s="4">
        <v>1</v>
      </c>
      <c r="F121" s="4">
        <v>1</v>
      </c>
      <c r="G121" s="4" t="s">
        <v>199</v>
      </c>
      <c r="H121" s="4" t="s">
        <v>204</v>
      </c>
      <c r="I121" s="4" t="s">
        <v>216</v>
      </c>
      <c r="J121" s="4" t="s">
        <v>195</v>
      </c>
      <c r="K121" s="4" t="s">
        <v>196</v>
      </c>
    </row>
    <row r="122" spans="1:11" ht="15.75" customHeight="1" x14ac:dyDescent="0.25">
      <c r="A122" s="4" t="s">
        <v>193</v>
      </c>
      <c r="B122" s="4" t="s">
        <v>345</v>
      </c>
      <c r="C122" s="4" t="s">
        <v>340</v>
      </c>
      <c r="E122" s="4">
        <v>1</v>
      </c>
      <c r="F122" s="4">
        <v>1</v>
      </c>
      <c r="G122" s="4" t="s">
        <v>199</v>
      </c>
      <c r="H122" s="4" t="s">
        <v>229</v>
      </c>
      <c r="I122" s="4" t="s">
        <v>206</v>
      </c>
      <c r="J122" s="4" t="s">
        <v>195</v>
      </c>
      <c r="K122" s="4" t="s">
        <v>196</v>
      </c>
    </row>
    <row r="123" spans="1:11" ht="15.75" customHeight="1" x14ac:dyDescent="0.25">
      <c r="A123" s="4" t="s">
        <v>193</v>
      </c>
      <c r="B123" s="4" t="s">
        <v>346</v>
      </c>
      <c r="C123" s="4" t="s">
        <v>340</v>
      </c>
      <c r="E123" s="4">
        <v>1</v>
      </c>
      <c r="F123" s="4">
        <v>1</v>
      </c>
      <c r="G123" s="4" t="s">
        <v>199</v>
      </c>
      <c r="H123" s="4" t="s">
        <v>204</v>
      </c>
      <c r="I123" s="4" t="s">
        <v>206</v>
      </c>
      <c r="J123" s="4" t="s">
        <v>195</v>
      </c>
      <c r="K123" s="4" t="s">
        <v>196</v>
      </c>
    </row>
    <row r="124" spans="1:11" ht="15.75" customHeight="1" x14ac:dyDescent="0.25">
      <c r="A124" s="4" t="s">
        <v>193</v>
      </c>
      <c r="B124" s="4" t="s">
        <v>347</v>
      </c>
      <c r="C124" s="4" t="s">
        <v>340</v>
      </c>
      <c r="E124" s="4">
        <v>1</v>
      </c>
      <c r="F124" s="4">
        <v>1</v>
      </c>
      <c r="G124" s="4" t="s">
        <v>199</v>
      </c>
      <c r="H124" s="4" t="s">
        <v>229</v>
      </c>
      <c r="I124" s="4" t="s">
        <v>206</v>
      </c>
      <c r="J124" s="4" t="s">
        <v>195</v>
      </c>
      <c r="K124" s="4" t="s">
        <v>196</v>
      </c>
    </row>
    <row r="125" spans="1:11" ht="15.75" customHeight="1" x14ac:dyDescent="0.25">
      <c r="A125" s="4" t="s">
        <v>193</v>
      </c>
      <c r="B125" s="4" t="s">
        <v>348</v>
      </c>
      <c r="C125" s="4" t="s">
        <v>340</v>
      </c>
      <c r="E125" s="4">
        <v>1</v>
      </c>
      <c r="F125" s="4">
        <v>1</v>
      </c>
      <c r="G125" s="4" t="s">
        <v>199</v>
      </c>
      <c r="H125" s="4" t="s">
        <v>204</v>
      </c>
      <c r="I125" s="4" t="s">
        <v>206</v>
      </c>
      <c r="J125" s="4" t="s">
        <v>195</v>
      </c>
      <c r="K125" s="4" t="s">
        <v>196</v>
      </c>
    </row>
    <row r="126" spans="1:11" ht="15.75" customHeight="1" x14ac:dyDescent="0.25">
      <c r="A126" s="4" t="s">
        <v>193</v>
      </c>
      <c r="B126" s="4" t="s">
        <v>349</v>
      </c>
      <c r="C126" s="4" t="s">
        <v>340</v>
      </c>
      <c r="E126" s="4">
        <v>1</v>
      </c>
      <c r="F126" s="4">
        <v>1</v>
      </c>
      <c r="G126" s="4" t="s">
        <v>199</v>
      </c>
      <c r="H126" s="4" t="s">
        <v>204</v>
      </c>
      <c r="I126" s="4" t="s">
        <v>206</v>
      </c>
      <c r="J126" s="4" t="s">
        <v>195</v>
      </c>
      <c r="K126" s="4" t="s">
        <v>196</v>
      </c>
    </row>
    <row r="127" spans="1:11" ht="15.75" customHeight="1" x14ac:dyDescent="0.25">
      <c r="A127" s="4" t="s">
        <v>193</v>
      </c>
      <c r="B127" s="4" t="s">
        <v>350</v>
      </c>
      <c r="C127" s="4" t="s">
        <v>340</v>
      </c>
      <c r="E127" s="4">
        <v>1</v>
      </c>
      <c r="F127" s="4">
        <v>1</v>
      </c>
      <c r="G127" s="4" t="s">
        <v>199</v>
      </c>
      <c r="H127" s="4" t="s">
        <v>204</v>
      </c>
      <c r="I127" s="4" t="s">
        <v>216</v>
      </c>
      <c r="J127" s="4" t="s">
        <v>195</v>
      </c>
      <c r="K127" s="4" t="s">
        <v>196</v>
      </c>
    </row>
    <row r="128" spans="1:11" ht="15.75" customHeight="1" x14ac:dyDescent="0.25">
      <c r="A128" s="4" t="s">
        <v>193</v>
      </c>
      <c r="B128" s="4" t="s">
        <v>351</v>
      </c>
      <c r="C128" s="4" t="s">
        <v>340</v>
      </c>
      <c r="E128" s="4">
        <v>1</v>
      </c>
      <c r="F128" s="4">
        <v>1</v>
      </c>
      <c r="G128" s="4" t="s">
        <v>199</v>
      </c>
      <c r="H128" s="4" t="s">
        <v>204</v>
      </c>
      <c r="I128" s="4" t="s">
        <v>216</v>
      </c>
      <c r="J128" s="4" t="s">
        <v>195</v>
      </c>
      <c r="K128" s="4" t="s">
        <v>196</v>
      </c>
    </row>
    <row r="129" spans="1:11" ht="15.75" customHeight="1" x14ac:dyDescent="0.25">
      <c r="A129" s="4" t="s">
        <v>193</v>
      </c>
      <c r="B129" s="4" t="s">
        <v>352</v>
      </c>
      <c r="C129" s="4" t="s">
        <v>340</v>
      </c>
      <c r="E129" s="4">
        <v>1</v>
      </c>
      <c r="F129" s="4">
        <v>1</v>
      </c>
      <c r="G129" s="4" t="s">
        <v>199</v>
      </c>
      <c r="H129" s="4" t="s">
        <v>229</v>
      </c>
      <c r="I129" s="4" t="s">
        <v>206</v>
      </c>
      <c r="J129" s="4" t="s">
        <v>195</v>
      </c>
      <c r="K129" s="4" t="s">
        <v>196</v>
      </c>
    </row>
    <row r="130" spans="1:11" ht="15.75" customHeight="1" x14ac:dyDescent="0.25">
      <c r="A130" s="4" t="s">
        <v>193</v>
      </c>
      <c r="B130" s="4" t="s">
        <v>353</v>
      </c>
      <c r="C130" s="4" t="s">
        <v>340</v>
      </c>
      <c r="E130" s="4">
        <v>1</v>
      </c>
      <c r="F130" s="4">
        <v>1</v>
      </c>
      <c r="G130" s="4" t="s">
        <v>199</v>
      </c>
      <c r="H130" s="4" t="s">
        <v>204</v>
      </c>
      <c r="I130" s="4" t="s">
        <v>206</v>
      </c>
      <c r="J130" s="4" t="s">
        <v>195</v>
      </c>
      <c r="K130" s="4" t="s">
        <v>196</v>
      </c>
    </row>
    <row r="131" spans="1:11" ht="15.75" customHeight="1" x14ac:dyDescent="0.25">
      <c r="A131" s="4" t="s">
        <v>193</v>
      </c>
      <c r="B131" s="4" t="s">
        <v>354</v>
      </c>
      <c r="C131" s="4" t="s">
        <v>340</v>
      </c>
      <c r="E131" s="4">
        <v>1</v>
      </c>
      <c r="F131" s="4">
        <v>1</v>
      </c>
      <c r="G131" s="4" t="s">
        <v>199</v>
      </c>
      <c r="H131" s="4" t="s">
        <v>229</v>
      </c>
      <c r="I131" s="4" t="s">
        <v>206</v>
      </c>
      <c r="J131" s="4" t="s">
        <v>195</v>
      </c>
      <c r="K131" s="4" t="s">
        <v>196</v>
      </c>
    </row>
    <row r="132" spans="1:11" ht="15.75" customHeight="1" x14ac:dyDescent="0.25">
      <c r="A132" s="4" t="s">
        <v>193</v>
      </c>
      <c r="B132" s="4" t="s">
        <v>355</v>
      </c>
      <c r="C132" s="4" t="s">
        <v>356</v>
      </c>
      <c r="E132" s="4">
        <v>1</v>
      </c>
      <c r="F132" s="4">
        <v>1</v>
      </c>
      <c r="G132" s="4" t="s">
        <v>199</v>
      </c>
      <c r="H132" s="4" t="s">
        <v>204</v>
      </c>
      <c r="I132" s="4" t="s">
        <v>225</v>
      </c>
      <c r="J132" s="4" t="s">
        <v>195</v>
      </c>
      <c r="K132" s="4" t="s">
        <v>196</v>
      </c>
    </row>
    <row r="133" spans="1:11" ht="15.75" customHeight="1" x14ac:dyDescent="0.25">
      <c r="A133" s="4" t="s">
        <v>193</v>
      </c>
      <c r="B133" s="4" t="s">
        <v>357</v>
      </c>
      <c r="C133" s="4" t="s">
        <v>356</v>
      </c>
      <c r="E133" s="4">
        <v>1</v>
      </c>
      <c r="F133" s="4">
        <v>1</v>
      </c>
      <c r="G133" s="4" t="s">
        <v>199</v>
      </c>
      <c r="H133" s="4" t="s">
        <v>204</v>
      </c>
      <c r="I133" s="4" t="s">
        <v>227</v>
      </c>
      <c r="J133" s="4" t="s">
        <v>195</v>
      </c>
      <c r="K133" s="4" t="s">
        <v>196</v>
      </c>
    </row>
    <row r="134" spans="1:11" ht="15.75" customHeight="1" x14ac:dyDescent="0.25">
      <c r="A134" s="4" t="s">
        <v>193</v>
      </c>
      <c r="B134" s="4" t="s">
        <v>358</v>
      </c>
      <c r="C134" s="4" t="s">
        <v>356</v>
      </c>
      <c r="E134" s="4">
        <v>1</v>
      </c>
      <c r="F134" s="4">
        <v>1</v>
      </c>
      <c r="G134" s="4" t="s">
        <v>199</v>
      </c>
      <c r="H134" s="4" t="s">
        <v>229</v>
      </c>
      <c r="I134" s="4" t="s">
        <v>230</v>
      </c>
      <c r="J134" s="4" t="s">
        <v>195</v>
      </c>
      <c r="K134" s="4" t="s">
        <v>196</v>
      </c>
    </row>
    <row r="135" spans="1:11" ht="15.75" customHeight="1" x14ac:dyDescent="0.25">
      <c r="A135" s="4" t="s">
        <v>193</v>
      </c>
      <c r="B135" s="4" t="s">
        <v>359</v>
      </c>
      <c r="C135" s="4" t="s">
        <v>356</v>
      </c>
      <c r="E135" s="4">
        <v>1</v>
      </c>
      <c r="F135" s="4">
        <v>1</v>
      </c>
      <c r="G135" s="4" t="s">
        <v>199</v>
      </c>
      <c r="H135" s="4" t="s">
        <v>204</v>
      </c>
      <c r="I135" s="4" t="s">
        <v>212</v>
      </c>
      <c r="J135" s="4" t="s">
        <v>195</v>
      </c>
      <c r="K135" s="4" t="s">
        <v>196</v>
      </c>
    </row>
    <row r="136" spans="1:11" ht="15.75" customHeight="1" x14ac:dyDescent="0.25">
      <c r="A136" s="4" t="s">
        <v>193</v>
      </c>
      <c r="B136" s="4" t="s">
        <v>360</v>
      </c>
      <c r="C136" s="4" t="s">
        <v>356</v>
      </c>
      <c r="E136" s="4">
        <v>1</v>
      </c>
      <c r="F136" s="4">
        <v>1</v>
      </c>
      <c r="G136" s="4" t="s">
        <v>199</v>
      </c>
      <c r="H136" s="4" t="s">
        <v>229</v>
      </c>
      <c r="I136" s="4" t="s">
        <v>230</v>
      </c>
      <c r="J136" s="4" t="s">
        <v>195</v>
      </c>
      <c r="K136" s="4" t="s">
        <v>196</v>
      </c>
    </row>
    <row r="137" spans="1:11" ht="15.75" customHeight="1" x14ac:dyDescent="0.25">
      <c r="A137" s="4" t="s">
        <v>193</v>
      </c>
      <c r="B137" s="4" t="s">
        <v>361</v>
      </c>
      <c r="C137" s="4" t="s">
        <v>356</v>
      </c>
      <c r="E137" s="4">
        <v>1</v>
      </c>
      <c r="F137" s="4">
        <v>1</v>
      </c>
      <c r="G137" s="4" t="s">
        <v>199</v>
      </c>
      <c r="H137" s="4" t="s">
        <v>204</v>
      </c>
      <c r="I137" s="4" t="s">
        <v>206</v>
      </c>
      <c r="J137" s="4" t="s">
        <v>195</v>
      </c>
      <c r="K137" s="4" t="s">
        <v>196</v>
      </c>
    </row>
    <row r="138" spans="1:11" ht="15.75" customHeight="1" x14ac:dyDescent="0.25">
      <c r="A138" s="4" t="s">
        <v>193</v>
      </c>
      <c r="B138" s="4" t="s">
        <v>362</v>
      </c>
      <c r="C138" s="4" t="s">
        <v>356</v>
      </c>
      <c r="E138" s="4">
        <v>1</v>
      </c>
      <c r="F138" s="4">
        <v>1</v>
      </c>
      <c r="G138" s="4" t="s">
        <v>199</v>
      </c>
      <c r="H138" s="4" t="s">
        <v>204</v>
      </c>
      <c r="I138" s="4" t="s">
        <v>206</v>
      </c>
      <c r="J138" s="4" t="s">
        <v>195</v>
      </c>
      <c r="K138" s="4" t="s">
        <v>196</v>
      </c>
    </row>
    <row r="139" spans="1:11" ht="15.75" customHeight="1" x14ac:dyDescent="0.25">
      <c r="A139" s="4" t="s">
        <v>193</v>
      </c>
      <c r="B139" s="4" t="s">
        <v>363</v>
      </c>
      <c r="C139" s="4" t="s">
        <v>356</v>
      </c>
      <c r="E139" s="4">
        <v>1</v>
      </c>
      <c r="F139" s="4">
        <v>1</v>
      </c>
      <c r="G139" s="4" t="s">
        <v>199</v>
      </c>
      <c r="H139" s="4" t="s">
        <v>204</v>
      </c>
      <c r="I139" s="4" t="s">
        <v>225</v>
      </c>
      <c r="J139" s="4" t="s">
        <v>195</v>
      </c>
      <c r="K139" s="4" t="s">
        <v>196</v>
      </c>
    </row>
    <row r="140" spans="1:11" ht="15.75" customHeight="1" x14ac:dyDescent="0.25">
      <c r="A140" s="4" t="s">
        <v>193</v>
      </c>
      <c r="B140" s="4" t="s">
        <v>364</v>
      </c>
      <c r="C140" s="4" t="s">
        <v>356</v>
      </c>
      <c r="E140" s="4">
        <v>1</v>
      </c>
      <c r="F140" s="4">
        <v>1</v>
      </c>
      <c r="G140" s="4" t="s">
        <v>199</v>
      </c>
      <c r="H140" s="4" t="s">
        <v>204</v>
      </c>
      <c r="I140" s="4" t="s">
        <v>227</v>
      </c>
      <c r="J140" s="4" t="s">
        <v>195</v>
      </c>
      <c r="K140" s="4" t="s">
        <v>196</v>
      </c>
    </row>
    <row r="141" spans="1:11" ht="15.75" customHeight="1" x14ac:dyDescent="0.25">
      <c r="A141" s="4" t="s">
        <v>193</v>
      </c>
      <c r="B141" s="4" t="s">
        <v>365</v>
      </c>
      <c r="C141" s="4" t="s">
        <v>356</v>
      </c>
      <c r="E141" s="4">
        <v>1</v>
      </c>
      <c r="F141" s="4">
        <v>1</v>
      </c>
      <c r="G141" s="4" t="s">
        <v>199</v>
      </c>
      <c r="H141" s="4" t="s">
        <v>229</v>
      </c>
      <c r="I141" s="4" t="s">
        <v>230</v>
      </c>
      <c r="J141" s="4" t="s">
        <v>195</v>
      </c>
      <c r="K141" s="4" t="s">
        <v>196</v>
      </c>
    </row>
    <row r="142" spans="1:11" ht="15.75" customHeight="1" x14ac:dyDescent="0.25">
      <c r="A142" s="4" t="s">
        <v>193</v>
      </c>
      <c r="B142" s="4" t="s">
        <v>366</v>
      </c>
      <c r="C142" s="4" t="s">
        <v>356</v>
      </c>
      <c r="E142" s="4">
        <v>1</v>
      </c>
      <c r="F142" s="4">
        <v>1</v>
      </c>
      <c r="G142" s="4" t="s">
        <v>199</v>
      </c>
      <c r="H142" s="4" t="s">
        <v>204</v>
      </c>
      <c r="I142" s="4" t="s">
        <v>212</v>
      </c>
      <c r="J142" s="4" t="s">
        <v>195</v>
      </c>
      <c r="K142" s="4" t="s">
        <v>196</v>
      </c>
    </row>
    <row r="143" spans="1:11" ht="15.75" customHeight="1" x14ac:dyDescent="0.25">
      <c r="A143" s="4" t="s">
        <v>193</v>
      </c>
      <c r="B143" s="4" t="s">
        <v>367</v>
      </c>
      <c r="C143" s="4" t="s">
        <v>356</v>
      </c>
      <c r="E143" s="4">
        <v>1</v>
      </c>
      <c r="F143" s="4">
        <v>1</v>
      </c>
      <c r="G143" s="4" t="s">
        <v>199</v>
      </c>
      <c r="H143" s="4" t="s">
        <v>229</v>
      </c>
      <c r="I143" s="4" t="s">
        <v>230</v>
      </c>
      <c r="J143" s="4" t="s">
        <v>195</v>
      </c>
      <c r="K143" s="4" t="s">
        <v>196</v>
      </c>
    </row>
    <row r="144" spans="1:11" ht="15.75" customHeight="1" x14ac:dyDescent="0.25">
      <c r="A144" s="4" t="s">
        <v>193</v>
      </c>
      <c r="B144" s="4" t="s">
        <v>368</v>
      </c>
      <c r="C144" s="4" t="s">
        <v>369</v>
      </c>
      <c r="E144" s="4">
        <v>1</v>
      </c>
      <c r="F144" s="4">
        <v>1</v>
      </c>
      <c r="G144" s="4" t="s">
        <v>199</v>
      </c>
      <c r="H144" s="4" t="s">
        <v>204</v>
      </c>
      <c r="I144" s="4" t="s">
        <v>201</v>
      </c>
      <c r="J144" s="4" t="s">
        <v>195</v>
      </c>
      <c r="K144" s="4" t="s">
        <v>196</v>
      </c>
    </row>
    <row r="145" spans="1:11" ht="15.75" customHeight="1" x14ac:dyDescent="0.25">
      <c r="A145" s="4" t="s">
        <v>193</v>
      </c>
      <c r="B145" s="4" t="s">
        <v>370</v>
      </c>
      <c r="C145" s="4" t="s">
        <v>369</v>
      </c>
      <c r="E145" s="4">
        <v>1</v>
      </c>
      <c r="F145" s="4">
        <v>1</v>
      </c>
      <c r="G145" s="4" t="s">
        <v>199</v>
      </c>
      <c r="H145" s="4" t="s">
        <v>204</v>
      </c>
      <c r="I145" s="4" t="s">
        <v>248</v>
      </c>
      <c r="J145" s="4" t="s">
        <v>195</v>
      </c>
      <c r="K145" s="4" t="s">
        <v>196</v>
      </c>
    </row>
    <row r="146" spans="1:11" ht="15.75" customHeight="1" x14ac:dyDescent="0.25">
      <c r="A146" s="4" t="s">
        <v>193</v>
      </c>
      <c r="B146" s="4" t="s">
        <v>371</v>
      </c>
      <c r="C146" s="4" t="s">
        <v>369</v>
      </c>
      <c r="E146" s="4">
        <v>1</v>
      </c>
      <c r="F146" s="4">
        <v>1</v>
      </c>
      <c r="G146" s="4" t="s">
        <v>199</v>
      </c>
      <c r="H146" s="4" t="s">
        <v>204</v>
      </c>
      <c r="I146" s="4" t="s">
        <v>210</v>
      </c>
      <c r="J146" s="4" t="s">
        <v>195</v>
      </c>
      <c r="K146" s="4" t="s">
        <v>196</v>
      </c>
    </row>
    <row r="147" spans="1:11" ht="15.75" customHeight="1" x14ac:dyDescent="0.25">
      <c r="A147" s="4" t="s">
        <v>193</v>
      </c>
      <c r="B147" s="4" t="s">
        <v>372</v>
      </c>
      <c r="C147" s="4" t="s">
        <v>373</v>
      </c>
      <c r="E147" s="4">
        <v>1</v>
      </c>
      <c r="F147" s="4">
        <v>1</v>
      </c>
      <c r="G147" s="4" t="s">
        <v>199</v>
      </c>
      <c r="H147" s="4" t="s">
        <v>204</v>
      </c>
      <c r="I147" s="4" t="s">
        <v>201</v>
      </c>
      <c r="J147" s="4" t="s">
        <v>195</v>
      </c>
      <c r="K147" s="4" t="s">
        <v>196</v>
      </c>
    </row>
    <row r="148" spans="1:11" ht="15.75" customHeight="1" x14ac:dyDescent="0.25">
      <c r="A148" s="4" t="s">
        <v>193</v>
      </c>
      <c r="B148" s="4" t="s">
        <v>374</v>
      </c>
      <c r="C148" s="4" t="s">
        <v>373</v>
      </c>
      <c r="E148" s="4">
        <v>1</v>
      </c>
      <c r="F148" s="4">
        <v>1</v>
      </c>
      <c r="G148" s="4" t="s">
        <v>199</v>
      </c>
      <c r="H148" s="4" t="s">
        <v>204</v>
      </c>
      <c r="I148" s="4" t="s">
        <v>248</v>
      </c>
      <c r="J148" s="4" t="s">
        <v>195</v>
      </c>
      <c r="K148" s="4" t="s">
        <v>196</v>
      </c>
    </row>
    <row r="149" spans="1:11" ht="15.75" customHeight="1" x14ac:dyDescent="0.25">
      <c r="A149" s="4" t="s">
        <v>193</v>
      </c>
      <c r="B149" s="4" t="s">
        <v>375</v>
      </c>
      <c r="C149" s="4" t="s">
        <v>373</v>
      </c>
      <c r="E149" s="4">
        <v>1</v>
      </c>
      <c r="F149" s="4">
        <v>1</v>
      </c>
      <c r="G149" s="4" t="s">
        <v>199</v>
      </c>
      <c r="H149" s="4" t="s">
        <v>200</v>
      </c>
      <c r="I149" s="4" t="s">
        <v>246</v>
      </c>
      <c r="J149" s="4" t="s">
        <v>195</v>
      </c>
      <c r="K149" s="4" t="s">
        <v>196</v>
      </c>
    </row>
    <row r="150" spans="1:11" ht="15.75" customHeight="1" x14ac:dyDescent="0.25">
      <c r="A150" s="4" t="s">
        <v>193</v>
      </c>
      <c r="B150" s="4" t="s">
        <v>376</v>
      </c>
      <c r="C150" s="4" t="s">
        <v>373</v>
      </c>
      <c r="E150" s="4">
        <v>1</v>
      </c>
      <c r="F150" s="4">
        <v>1</v>
      </c>
      <c r="G150" s="4" t="s">
        <v>199</v>
      </c>
      <c r="H150" s="4" t="s">
        <v>204</v>
      </c>
      <c r="I150" s="4" t="s">
        <v>248</v>
      </c>
      <c r="J150" s="4" t="s">
        <v>195</v>
      </c>
      <c r="K150" s="4" t="s">
        <v>196</v>
      </c>
    </row>
    <row r="151" spans="1:11" ht="15.75" customHeight="1" x14ac:dyDescent="0.25">
      <c r="A151" s="4" t="s">
        <v>193</v>
      </c>
      <c r="B151" s="4" t="s">
        <v>377</v>
      </c>
      <c r="C151" s="4" t="s">
        <v>373</v>
      </c>
      <c r="E151" s="4">
        <v>1</v>
      </c>
      <c r="F151" s="4">
        <v>1</v>
      </c>
      <c r="G151" s="4" t="s">
        <v>199</v>
      </c>
      <c r="H151" s="4" t="s">
        <v>204</v>
      </c>
      <c r="I151" s="4" t="s">
        <v>210</v>
      </c>
      <c r="J151" s="4" t="s">
        <v>195</v>
      </c>
      <c r="K151" s="4" t="s">
        <v>196</v>
      </c>
    </row>
    <row r="152" spans="1:11" ht="15.75" customHeight="1" x14ac:dyDescent="0.25">
      <c r="A152" s="4" t="s">
        <v>193</v>
      </c>
      <c r="B152" s="4" t="s">
        <v>378</v>
      </c>
      <c r="C152" s="4" t="s">
        <v>373</v>
      </c>
      <c r="E152" s="4">
        <v>1</v>
      </c>
      <c r="F152" s="4">
        <v>1</v>
      </c>
      <c r="G152" s="4" t="s">
        <v>199</v>
      </c>
      <c r="H152" s="4" t="s">
        <v>204</v>
      </c>
      <c r="I152" s="4" t="s">
        <v>225</v>
      </c>
      <c r="J152" s="4" t="s">
        <v>195</v>
      </c>
      <c r="K152" s="4" t="s">
        <v>196</v>
      </c>
    </row>
    <row r="153" spans="1:11" ht="15.75" customHeight="1" x14ac:dyDescent="0.25">
      <c r="A153" s="4" t="s">
        <v>193</v>
      </c>
      <c r="B153" s="4" t="s">
        <v>379</v>
      </c>
      <c r="C153" s="4" t="s">
        <v>373</v>
      </c>
      <c r="E153" s="4">
        <v>1</v>
      </c>
      <c r="F153" s="4">
        <v>1</v>
      </c>
      <c r="G153" s="4" t="s">
        <v>199</v>
      </c>
      <c r="H153" s="4" t="s">
        <v>204</v>
      </c>
      <c r="I153" s="4" t="s">
        <v>227</v>
      </c>
      <c r="J153" s="4" t="s">
        <v>195</v>
      </c>
      <c r="K153" s="4" t="s">
        <v>196</v>
      </c>
    </row>
    <row r="154" spans="1:11" ht="15.75" customHeight="1" x14ac:dyDescent="0.25">
      <c r="A154" s="4" t="s">
        <v>193</v>
      </c>
      <c r="B154" s="4" t="s">
        <v>380</v>
      </c>
      <c r="C154" s="4" t="s">
        <v>373</v>
      </c>
      <c r="E154" s="4">
        <v>1</v>
      </c>
      <c r="F154" s="4">
        <v>1</v>
      </c>
      <c r="G154" s="4" t="s">
        <v>199</v>
      </c>
      <c r="H154" s="4" t="s">
        <v>229</v>
      </c>
      <c r="I154" s="4" t="s">
        <v>230</v>
      </c>
      <c r="J154" s="4" t="s">
        <v>195</v>
      </c>
      <c r="K154" s="4" t="s">
        <v>196</v>
      </c>
    </row>
    <row r="155" spans="1:11" ht="15.75" customHeight="1" x14ac:dyDescent="0.25">
      <c r="A155" s="4" t="s">
        <v>193</v>
      </c>
      <c r="B155" s="4" t="s">
        <v>381</v>
      </c>
      <c r="C155" s="4" t="s">
        <v>373</v>
      </c>
      <c r="E155" s="4">
        <v>1</v>
      </c>
      <c r="F155" s="4">
        <v>1</v>
      </c>
      <c r="G155" s="4" t="s">
        <v>199</v>
      </c>
      <c r="H155" s="4" t="s">
        <v>204</v>
      </c>
      <c r="I155" s="4" t="s">
        <v>212</v>
      </c>
      <c r="J155" s="4" t="s">
        <v>195</v>
      </c>
      <c r="K155" s="4" t="s">
        <v>196</v>
      </c>
    </row>
    <row r="156" spans="1:11" ht="15.75" customHeight="1" x14ac:dyDescent="0.25">
      <c r="A156" s="4" t="s">
        <v>193</v>
      </c>
      <c r="B156" s="4" t="s">
        <v>382</v>
      </c>
      <c r="C156" s="4" t="s">
        <v>373</v>
      </c>
      <c r="E156" s="4">
        <v>1</v>
      </c>
      <c r="F156" s="4">
        <v>1</v>
      </c>
      <c r="G156" s="4" t="s">
        <v>199</v>
      </c>
      <c r="H156" s="4" t="s">
        <v>229</v>
      </c>
      <c r="I156" s="4" t="s">
        <v>230</v>
      </c>
      <c r="J156" s="4" t="s">
        <v>195</v>
      </c>
      <c r="K156" s="4" t="s">
        <v>196</v>
      </c>
    </row>
    <row r="157" spans="1:11" ht="15.75" customHeight="1" x14ac:dyDescent="0.25">
      <c r="A157" s="4" t="s">
        <v>193</v>
      </c>
      <c r="B157" s="4" t="s">
        <v>383</v>
      </c>
      <c r="C157" s="4" t="s">
        <v>373</v>
      </c>
      <c r="E157" s="4">
        <v>1</v>
      </c>
      <c r="F157" s="4">
        <v>1</v>
      </c>
      <c r="G157" s="4" t="s">
        <v>199</v>
      </c>
      <c r="H157" s="4" t="s">
        <v>204</v>
      </c>
      <c r="I157" s="4" t="s">
        <v>206</v>
      </c>
      <c r="J157" s="4" t="s">
        <v>195</v>
      </c>
      <c r="K157" s="4" t="s">
        <v>196</v>
      </c>
    </row>
    <row r="158" spans="1:11" ht="15.75" customHeight="1" x14ac:dyDescent="0.25">
      <c r="A158" s="4" t="s">
        <v>193</v>
      </c>
      <c r="B158" s="4" t="s">
        <v>384</v>
      </c>
      <c r="C158" s="4" t="s">
        <v>373</v>
      </c>
      <c r="E158" s="4">
        <v>1</v>
      </c>
      <c r="F158" s="4">
        <v>1</v>
      </c>
      <c r="G158" s="4" t="s">
        <v>199</v>
      </c>
      <c r="H158" s="4" t="s">
        <v>204</v>
      </c>
      <c r="I158" s="4" t="s">
        <v>206</v>
      </c>
      <c r="J158" s="4" t="s">
        <v>195</v>
      </c>
      <c r="K158" s="4" t="s">
        <v>196</v>
      </c>
    </row>
    <row r="159" spans="1:11" ht="15.75" customHeight="1" x14ac:dyDescent="0.25">
      <c r="A159" s="4" t="s">
        <v>193</v>
      </c>
      <c r="B159" s="4" t="s">
        <v>385</v>
      </c>
      <c r="C159" s="4" t="s">
        <v>373</v>
      </c>
      <c r="E159" s="4">
        <v>1</v>
      </c>
      <c r="F159" s="4">
        <v>1</v>
      </c>
      <c r="G159" s="4" t="s">
        <v>199</v>
      </c>
      <c r="H159" s="4" t="s">
        <v>204</v>
      </c>
      <c r="I159" s="4" t="s">
        <v>225</v>
      </c>
      <c r="J159" s="4" t="s">
        <v>195</v>
      </c>
      <c r="K159" s="4" t="s">
        <v>196</v>
      </c>
    </row>
    <row r="160" spans="1:11" ht="15.75" customHeight="1" x14ac:dyDescent="0.25">
      <c r="A160" s="4" t="s">
        <v>193</v>
      </c>
      <c r="B160" s="4" t="s">
        <v>386</v>
      </c>
      <c r="C160" s="4" t="s">
        <v>373</v>
      </c>
      <c r="E160" s="4">
        <v>1</v>
      </c>
      <c r="F160" s="4">
        <v>1</v>
      </c>
      <c r="G160" s="4" t="s">
        <v>199</v>
      </c>
      <c r="H160" s="4" t="s">
        <v>204</v>
      </c>
      <c r="I160" s="4" t="s">
        <v>227</v>
      </c>
      <c r="J160" s="4" t="s">
        <v>195</v>
      </c>
      <c r="K160" s="4" t="s">
        <v>196</v>
      </c>
    </row>
    <row r="161" spans="1:11" ht="15.75" customHeight="1" x14ac:dyDescent="0.25">
      <c r="A161" s="4" t="s">
        <v>193</v>
      </c>
      <c r="B161" s="4" t="s">
        <v>387</v>
      </c>
      <c r="C161" s="4" t="s">
        <v>373</v>
      </c>
      <c r="E161" s="4">
        <v>1</v>
      </c>
      <c r="F161" s="4">
        <v>1</v>
      </c>
      <c r="G161" s="4" t="s">
        <v>199</v>
      </c>
      <c r="H161" s="4" t="s">
        <v>229</v>
      </c>
      <c r="I161" s="4" t="s">
        <v>230</v>
      </c>
      <c r="J161" s="4" t="s">
        <v>195</v>
      </c>
      <c r="K161" s="4" t="s">
        <v>196</v>
      </c>
    </row>
    <row r="162" spans="1:11" ht="15.75" customHeight="1" x14ac:dyDescent="0.25">
      <c r="A162" s="4" t="s">
        <v>193</v>
      </c>
      <c r="B162" s="4" t="s">
        <v>388</v>
      </c>
      <c r="C162" s="4" t="s">
        <v>373</v>
      </c>
      <c r="E162" s="4">
        <v>1</v>
      </c>
      <c r="F162" s="4">
        <v>1</v>
      </c>
      <c r="G162" s="4" t="s">
        <v>199</v>
      </c>
      <c r="H162" s="4" t="s">
        <v>204</v>
      </c>
      <c r="I162" s="4" t="s">
        <v>212</v>
      </c>
      <c r="J162" s="4" t="s">
        <v>195</v>
      </c>
      <c r="K162" s="4" t="s">
        <v>196</v>
      </c>
    </row>
    <row r="163" spans="1:11" ht="15.75" customHeight="1" x14ac:dyDescent="0.25">
      <c r="A163" s="4" t="s">
        <v>193</v>
      </c>
      <c r="B163" s="4" t="s">
        <v>389</v>
      </c>
      <c r="C163" s="4" t="s">
        <v>373</v>
      </c>
      <c r="E163" s="4">
        <v>1</v>
      </c>
      <c r="F163" s="4">
        <v>1</v>
      </c>
      <c r="G163" s="4" t="s">
        <v>199</v>
      </c>
      <c r="H163" s="4" t="s">
        <v>229</v>
      </c>
      <c r="I163" s="4" t="s">
        <v>230</v>
      </c>
      <c r="J163" s="4" t="s">
        <v>195</v>
      </c>
      <c r="K163" s="4" t="s">
        <v>196</v>
      </c>
    </row>
    <row r="164" spans="1:11" ht="15.75" customHeight="1" x14ac:dyDescent="0.25">
      <c r="A164" s="4" t="s">
        <v>193</v>
      </c>
      <c r="B164" s="4" t="s">
        <v>390</v>
      </c>
      <c r="C164" s="4" t="s">
        <v>373</v>
      </c>
      <c r="E164" s="4">
        <v>1</v>
      </c>
      <c r="F164" s="4">
        <v>1</v>
      </c>
      <c r="G164" s="4" t="s">
        <v>199</v>
      </c>
      <c r="H164" s="4" t="s">
        <v>204</v>
      </c>
      <c r="I164" s="4" t="s">
        <v>210</v>
      </c>
      <c r="J164" s="4" t="s">
        <v>195</v>
      </c>
      <c r="K164" s="4" t="s">
        <v>196</v>
      </c>
    </row>
    <row r="165" spans="1:11" ht="15.75" customHeight="1" x14ac:dyDescent="0.25">
      <c r="A165" s="4" t="s">
        <v>193</v>
      </c>
      <c r="B165" s="4" t="s">
        <v>391</v>
      </c>
      <c r="C165" s="4" t="s">
        <v>373</v>
      </c>
      <c r="E165" s="4">
        <v>1</v>
      </c>
      <c r="F165" s="4">
        <v>1</v>
      </c>
      <c r="G165" s="4" t="s">
        <v>199</v>
      </c>
      <c r="H165" s="4" t="s">
        <v>204</v>
      </c>
      <c r="I165" s="4" t="s">
        <v>210</v>
      </c>
      <c r="J165" s="4" t="s">
        <v>195</v>
      </c>
      <c r="K165" s="4" t="s">
        <v>196</v>
      </c>
    </row>
    <row r="166" spans="1:11" ht="15.75" customHeight="1" x14ac:dyDescent="0.25">
      <c r="A166" s="4" t="s">
        <v>193</v>
      </c>
      <c r="B166" s="4" t="s">
        <v>392</v>
      </c>
      <c r="C166" s="4" t="s">
        <v>393</v>
      </c>
      <c r="E166" s="4">
        <v>1</v>
      </c>
      <c r="F166" s="4">
        <v>1</v>
      </c>
      <c r="G166" s="4" t="s">
        <v>199</v>
      </c>
      <c r="H166" s="4" t="s">
        <v>200</v>
      </c>
      <c r="I166" s="4" t="s">
        <v>201</v>
      </c>
      <c r="J166" s="4" t="s">
        <v>195</v>
      </c>
      <c r="K166" s="4" t="s">
        <v>196</v>
      </c>
    </row>
    <row r="167" spans="1:11" ht="15.75" customHeight="1" x14ac:dyDescent="0.25">
      <c r="A167" s="4" t="s">
        <v>193</v>
      </c>
      <c r="B167" s="4" t="s">
        <v>394</v>
      </c>
      <c r="C167" s="4" t="s">
        <v>395</v>
      </c>
      <c r="E167" s="4">
        <v>1</v>
      </c>
      <c r="F167" s="4">
        <v>1</v>
      </c>
      <c r="G167" s="4" t="s">
        <v>199</v>
      </c>
      <c r="H167" s="4" t="s">
        <v>200</v>
      </c>
      <c r="I167" s="4" t="s">
        <v>246</v>
      </c>
      <c r="J167" s="4" t="s">
        <v>195</v>
      </c>
      <c r="K167" s="4" t="s">
        <v>196</v>
      </c>
    </row>
    <row r="168" spans="1:11" ht="15.75" customHeight="1" x14ac:dyDescent="0.25">
      <c r="A168" s="4" t="s">
        <v>193</v>
      </c>
      <c r="B168" s="4" t="s">
        <v>396</v>
      </c>
      <c r="C168" s="4" t="s">
        <v>397</v>
      </c>
      <c r="E168" s="4">
        <v>1</v>
      </c>
      <c r="F168" s="4">
        <v>1</v>
      </c>
      <c r="G168" s="4" t="s">
        <v>199</v>
      </c>
      <c r="H168" s="4" t="s">
        <v>200</v>
      </c>
      <c r="I168" s="4" t="s">
        <v>201</v>
      </c>
      <c r="J168" s="4" t="s">
        <v>195</v>
      </c>
      <c r="K168" s="4" t="s">
        <v>196</v>
      </c>
    </row>
    <row r="169" spans="1:11" ht="15.75" customHeight="1" x14ac:dyDescent="0.25">
      <c r="A169" s="4" t="s">
        <v>193</v>
      </c>
      <c r="B169" s="4" t="s">
        <v>398</v>
      </c>
      <c r="C169" s="4" t="s">
        <v>397</v>
      </c>
      <c r="E169" s="4">
        <v>1</v>
      </c>
      <c r="F169" s="4">
        <v>1</v>
      </c>
      <c r="G169" s="4" t="s">
        <v>199</v>
      </c>
      <c r="H169" s="4" t="s">
        <v>204</v>
      </c>
      <c r="I169" s="4" t="s">
        <v>206</v>
      </c>
      <c r="J169" s="4" t="s">
        <v>195</v>
      </c>
      <c r="K169" s="4" t="s">
        <v>196</v>
      </c>
    </row>
    <row r="170" spans="1:11" ht="15.75" customHeight="1" x14ac:dyDescent="0.25">
      <c r="A170" s="4" t="s">
        <v>193</v>
      </c>
      <c r="B170" s="4" t="s">
        <v>399</v>
      </c>
      <c r="C170" s="4" t="s">
        <v>397</v>
      </c>
      <c r="E170" s="4">
        <v>1</v>
      </c>
      <c r="F170" s="4">
        <v>1</v>
      </c>
      <c r="G170" s="4" t="s">
        <v>199</v>
      </c>
      <c r="H170" s="4" t="s">
        <v>200</v>
      </c>
      <c r="I170" s="4" t="s">
        <v>206</v>
      </c>
      <c r="J170" s="4" t="s">
        <v>195</v>
      </c>
      <c r="K170" s="4" t="s">
        <v>196</v>
      </c>
    </row>
    <row r="171" spans="1:11" ht="15.75" customHeight="1" x14ac:dyDescent="0.25">
      <c r="A171" s="4" t="s">
        <v>193</v>
      </c>
      <c r="B171" s="4" t="s">
        <v>400</v>
      </c>
      <c r="C171" s="4" t="s">
        <v>397</v>
      </c>
      <c r="E171" s="4">
        <v>1</v>
      </c>
      <c r="F171" s="4">
        <v>1</v>
      </c>
      <c r="G171" s="4" t="s">
        <v>199</v>
      </c>
      <c r="H171" s="4" t="s">
        <v>204</v>
      </c>
      <c r="I171" s="4" t="s">
        <v>248</v>
      </c>
      <c r="J171" s="4" t="s">
        <v>195</v>
      </c>
      <c r="K171" s="4" t="s">
        <v>196</v>
      </c>
    </row>
    <row r="172" spans="1:11" ht="15.75" customHeight="1" x14ac:dyDescent="0.25">
      <c r="A172" s="4" t="s">
        <v>193</v>
      </c>
      <c r="B172" s="4" t="s">
        <v>401</v>
      </c>
      <c r="C172" s="4" t="s">
        <v>397</v>
      </c>
      <c r="E172" s="4">
        <v>1</v>
      </c>
      <c r="F172" s="4">
        <v>1</v>
      </c>
      <c r="G172" s="4" t="s">
        <v>199</v>
      </c>
      <c r="H172" s="4" t="s">
        <v>204</v>
      </c>
      <c r="I172" s="4" t="s">
        <v>201</v>
      </c>
      <c r="J172" s="4" t="s">
        <v>195</v>
      </c>
      <c r="K172" s="4" t="s">
        <v>196</v>
      </c>
    </row>
    <row r="173" spans="1:11" ht="15.75" customHeight="1" x14ac:dyDescent="0.25">
      <c r="A173" s="4" t="s">
        <v>193</v>
      </c>
      <c r="B173" s="4" t="s">
        <v>402</v>
      </c>
      <c r="C173" s="4" t="s">
        <v>397</v>
      </c>
      <c r="E173" s="4">
        <v>1</v>
      </c>
      <c r="F173" s="4">
        <v>1</v>
      </c>
      <c r="G173" s="4" t="s">
        <v>199</v>
      </c>
      <c r="H173" s="4" t="s">
        <v>204</v>
      </c>
      <c r="I173" s="4" t="s">
        <v>201</v>
      </c>
      <c r="J173" s="4" t="s">
        <v>195</v>
      </c>
      <c r="K173" s="4" t="s">
        <v>196</v>
      </c>
    </row>
    <row r="174" spans="1:11" ht="15.75" customHeight="1" x14ac:dyDescent="0.25">
      <c r="A174" s="4" t="s">
        <v>193</v>
      </c>
      <c r="B174" s="4" t="s">
        <v>403</v>
      </c>
      <c r="C174" s="4" t="s">
        <v>397</v>
      </c>
      <c r="E174" s="4">
        <v>1</v>
      </c>
      <c r="F174" s="4">
        <v>1</v>
      </c>
      <c r="G174" s="4" t="s">
        <v>199</v>
      </c>
      <c r="H174" s="4" t="s">
        <v>204</v>
      </c>
      <c r="I174" s="4" t="s">
        <v>201</v>
      </c>
      <c r="J174" s="4" t="s">
        <v>195</v>
      </c>
      <c r="K174" s="4" t="s">
        <v>196</v>
      </c>
    </row>
    <row r="175" spans="1:11" ht="15.75" customHeight="1" x14ac:dyDescent="0.25">
      <c r="A175" s="4" t="s">
        <v>193</v>
      </c>
      <c r="B175" s="4" t="s">
        <v>404</v>
      </c>
      <c r="C175" s="4" t="s">
        <v>397</v>
      </c>
      <c r="E175" s="4">
        <v>1</v>
      </c>
      <c r="F175" s="4">
        <v>1</v>
      </c>
      <c r="G175" s="4" t="s">
        <v>199</v>
      </c>
      <c r="H175" s="4" t="s">
        <v>204</v>
      </c>
      <c r="I175" s="4" t="s">
        <v>201</v>
      </c>
      <c r="J175" s="4" t="s">
        <v>195</v>
      </c>
      <c r="K175" s="4" t="s">
        <v>196</v>
      </c>
    </row>
    <row r="176" spans="1:11" ht="15.75" customHeight="1" x14ac:dyDescent="0.25">
      <c r="A176" s="4" t="s">
        <v>193</v>
      </c>
      <c r="B176" s="4" t="s">
        <v>405</v>
      </c>
      <c r="C176" s="4" t="s">
        <v>397</v>
      </c>
      <c r="E176" s="4">
        <v>1</v>
      </c>
      <c r="F176" s="4">
        <v>1</v>
      </c>
      <c r="G176" s="4" t="s">
        <v>199</v>
      </c>
      <c r="H176" s="4" t="s">
        <v>204</v>
      </c>
      <c r="I176" s="4" t="s">
        <v>201</v>
      </c>
      <c r="J176" s="4" t="s">
        <v>195</v>
      </c>
      <c r="K176" s="4" t="s">
        <v>196</v>
      </c>
    </row>
    <row r="177" spans="1:11" ht="15.75" customHeight="1" x14ac:dyDescent="0.25">
      <c r="A177" s="4" t="s">
        <v>193</v>
      </c>
      <c r="B177" s="4" t="s">
        <v>406</v>
      </c>
      <c r="C177" s="4" t="s">
        <v>397</v>
      </c>
      <c r="E177" s="4">
        <v>1</v>
      </c>
      <c r="F177" s="4">
        <v>1</v>
      </c>
      <c r="G177" s="4" t="s">
        <v>199</v>
      </c>
      <c r="H177" s="4" t="s">
        <v>204</v>
      </c>
      <c r="I177" s="4" t="s">
        <v>201</v>
      </c>
      <c r="J177" s="4" t="s">
        <v>195</v>
      </c>
      <c r="K177" s="4" t="s">
        <v>196</v>
      </c>
    </row>
    <row r="178" spans="1:11" ht="15.75" customHeight="1" x14ac:dyDescent="0.25">
      <c r="A178" s="4" t="s">
        <v>193</v>
      </c>
      <c r="B178" s="4" t="s">
        <v>407</v>
      </c>
      <c r="C178" s="4" t="s">
        <v>397</v>
      </c>
      <c r="E178" s="4">
        <v>1</v>
      </c>
      <c r="F178" s="4">
        <v>1</v>
      </c>
      <c r="G178" s="4" t="s">
        <v>199</v>
      </c>
      <c r="H178" s="4" t="s">
        <v>204</v>
      </c>
      <c r="I178" s="4" t="s">
        <v>248</v>
      </c>
      <c r="J178" s="4" t="s">
        <v>195</v>
      </c>
      <c r="K178" s="4" t="s">
        <v>196</v>
      </c>
    </row>
    <row r="179" spans="1:11" ht="15.75" customHeight="1" x14ac:dyDescent="0.25">
      <c r="A179" s="4" t="s">
        <v>193</v>
      </c>
      <c r="B179" s="4" t="s">
        <v>408</v>
      </c>
      <c r="C179" s="4" t="s">
        <v>397</v>
      </c>
      <c r="E179" s="4">
        <v>1</v>
      </c>
      <c r="F179" s="4">
        <v>1</v>
      </c>
      <c r="G179" s="4" t="s">
        <v>199</v>
      </c>
      <c r="H179" s="4" t="s">
        <v>204</v>
      </c>
      <c r="I179" s="4" t="s">
        <v>201</v>
      </c>
      <c r="J179" s="4" t="s">
        <v>195</v>
      </c>
      <c r="K179" s="4" t="s">
        <v>196</v>
      </c>
    </row>
    <row r="180" spans="1:11" ht="15.75" customHeight="1" x14ac:dyDescent="0.25">
      <c r="A180" s="4" t="s">
        <v>193</v>
      </c>
      <c r="B180" s="4" t="s">
        <v>409</v>
      </c>
      <c r="C180" s="4" t="s">
        <v>397</v>
      </c>
      <c r="E180" s="4">
        <v>1</v>
      </c>
      <c r="F180" s="4">
        <v>1</v>
      </c>
      <c r="G180" s="4" t="s">
        <v>199</v>
      </c>
      <c r="H180" s="4" t="s">
        <v>204</v>
      </c>
      <c r="I180" s="4" t="s">
        <v>248</v>
      </c>
      <c r="J180" s="4" t="s">
        <v>195</v>
      </c>
      <c r="K180" s="4" t="s">
        <v>196</v>
      </c>
    </row>
    <row r="181" spans="1:11" ht="15.75" customHeight="1" x14ac:dyDescent="0.25">
      <c r="A181" s="4" t="s">
        <v>193</v>
      </c>
      <c r="B181" s="4" t="s">
        <v>410</v>
      </c>
      <c r="C181" s="4" t="s">
        <v>397</v>
      </c>
      <c r="E181" s="4">
        <v>1</v>
      </c>
      <c r="F181" s="4">
        <v>1</v>
      </c>
      <c r="G181" s="4" t="s">
        <v>199</v>
      </c>
      <c r="H181" s="4" t="s">
        <v>204</v>
      </c>
      <c r="I181" s="4" t="s">
        <v>201</v>
      </c>
      <c r="J181" s="4" t="s">
        <v>195</v>
      </c>
      <c r="K181" s="4" t="s">
        <v>196</v>
      </c>
    </row>
    <row r="182" spans="1:11" ht="15.75" customHeight="1" x14ac:dyDescent="0.25">
      <c r="A182" s="4" t="s">
        <v>193</v>
      </c>
      <c r="B182" s="4" t="s">
        <v>411</v>
      </c>
      <c r="C182" s="4" t="s">
        <v>397</v>
      </c>
      <c r="E182" s="4">
        <v>1</v>
      </c>
      <c r="F182" s="4">
        <v>1</v>
      </c>
      <c r="G182" s="4" t="s">
        <v>199</v>
      </c>
      <c r="H182" s="4" t="s">
        <v>204</v>
      </c>
      <c r="I182" s="4" t="s">
        <v>248</v>
      </c>
      <c r="J182" s="4" t="s">
        <v>195</v>
      </c>
      <c r="K182" s="4" t="s">
        <v>196</v>
      </c>
    </row>
    <row r="183" spans="1:11" ht="15.75" customHeight="1" x14ac:dyDescent="0.25">
      <c r="A183" s="4" t="s">
        <v>193</v>
      </c>
      <c r="B183" s="4" t="s">
        <v>412</v>
      </c>
      <c r="C183" s="4" t="s">
        <v>397</v>
      </c>
      <c r="E183" s="4">
        <v>1</v>
      </c>
      <c r="F183" s="4">
        <v>1</v>
      </c>
      <c r="G183" s="4" t="s">
        <v>199</v>
      </c>
      <c r="H183" s="4" t="s">
        <v>204</v>
      </c>
      <c r="I183" s="4" t="s">
        <v>201</v>
      </c>
      <c r="J183" s="4" t="s">
        <v>195</v>
      </c>
      <c r="K183" s="4" t="s">
        <v>196</v>
      </c>
    </row>
    <row r="184" spans="1:11" ht="15.75" customHeight="1" x14ac:dyDescent="0.25">
      <c r="A184" s="4" t="s">
        <v>193</v>
      </c>
      <c r="B184" s="4" t="s">
        <v>413</v>
      </c>
      <c r="C184" s="4" t="s">
        <v>397</v>
      </c>
      <c r="E184" s="4">
        <v>1</v>
      </c>
      <c r="F184" s="4">
        <v>1</v>
      </c>
      <c r="G184" s="4" t="s">
        <v>199</v>
      </c>
      <c r="H184" s="4" t="s">
        <v>204</v>
      </c>
      <c r="I184" s="4" t="s">
        <v>248</v>
      </c>
      <c r="J184" s="4" t="s">
        <v>195</v>
      </c>
      <c r="K184" s="4" t="s">
        <v>196</v>
      </c>
    </row>
    <row r="185" spans="1:11" ht="15.75" customHeight="1" x14ac:dyDescent="0.25">
      <c r="A185" s="4" t="s">
        <v>193</v>
      </c>
      <c r="B185" s="4" t="s">
        <v>414</v>
      </c>
      <c r="C185" s="4" t="s">
        <v>397</v>
      </c>
      <c r="E185" s="4">
        <v>1</v>
      </c>
      <c r="F185" s="4">
        <v>1</v>
      </c>
      <c r="G185" s="4" t="s">
        <v>199</v>
      </c>
      <c r="H185" s="4" t="s">
        <v>204</v>
      </c>
      <c r="I185" s="4" t="s">
        <v>201</v>
      </c>
      <c r="J185" s="4" t="s">
        <v>195</v>
      </c>
      <c r="K185" s="4" t="s">
        <v>196</v>
      </c>
    </row>
    <row r="186" spans="1:11" ht="15.75" customHeight="1" x14ac:dyDescent="0.25">
      <c r="A186" s="4" t="s">
        <v>193</v>
      </c>
      <c r="B186" s="4" t="s">
        <v>415</v>
      </c>
      <c r="C186" s="4" t="s">
        <v>397</v>
      </c>
      <c r="E186" s="4">
        <v>1</v>
      </c>
      <c r="F186" s="4">
        <v>1</v>
      </c>
      <c r="G186" s="4" t="s">
        <v>199</v>
      </c>
      <c r="H186" s="4" t="s">
        <v>204</v>
      </c>
      <c r="I186" s="4" t="s">
        <v>210</v>
      </c>
      <c r="J186" s="4" t="s">
        <v>195</v>
      </c>
      <c r="K186" s="4" t="s">
        <v>196</v>
      </c>
    </row>
    <row r="187" spans="1:11" ht="15.75" customHeight="1" x14ac:dyDescent="0.25">
      <c r="A187" s="4" t="s">
        <v>193</v>
      </c>
      <c r="B187" s="4" t="s">
        <v>416</v>
      </c>
      <c r="C187" s="4" t="s">
        <v>397</v>
      </c>
      <c r="E187" s="4">
        <v>1</v>
      </c>
      <c r="F187" s="4">
        <v>1</v>
      </c>
      <c r="G187" s="4" t="s">
        <v>199</v>
      </c>
      <c r="H187" s="4" t="s">
        <v>204</v>
      </c>
      <c r="I187" s="4" t="s">
        <v>210</v>
      </c>
      <c r="J187" s="4" t="s">
        <v>195</v>
      </c>
      <c r="K187" s="4" t="s">
        <v>196</v>
      </c>
    </row>
    <row r="188" spans="1:11" ht="15.75" customHeight="1" x14ac:dyDescent="0.25">
      <c r="A188" s="4" t="s">
        <v>193</v>
      </c>
      <c r="B188" s="4" t="s">
        <v>417</v>
      </c>
      <c r="C188" s="4" t="s">
        <v>397</v>
      </c>
      <c r="E188" s="4">
        <v>1</v>
      </c>
      <c r="F188" s="4">
        <v>1</v>
      </c>
      <c r="G188" s="4" t="s">
        <v>199</v>
      </c>
      <c r="H188" s="4" t="s">
        <v>204</v>
      </c>
      <c r="I188" s="4" t="s">
        <v>216</v>
      </c>
      <c r="J188" s="4" t="s">
        <v>195</v>
      </c>
      <c r="K188" s="4" t="s">
        <v>196</v>
      </c>
    </row>
    <row r="189" spans="1:11" ht="15.75" customHeight="1" x14ac:dyDescent="0.25">
      <c r="A189" s="4" t="s">
        <v>193</v>
      </c>
      <c r="B189" s="4" t="s">
        <v>418</v>
      </c>
      <c r="C189" s="4" t="s">
        <v>397</v>
      </c>
      <c r="E189" s="4">
        <v>1</v>
      </c>
      <c r="F189" s="4">
        <v>1</v>
      </c>
      <c r="G189" s="4" t="s">
        <v>199</v>
      </c>
      <c r="H189" s="4" t="s">
        <v>204</v>
      </c>
      <c r="I189" s="4" t="s">
        <v>210</v>
      </c>
      <c r="J189" s="4" t="s">
        <v>195</v>
      </c>
      <c r="K189" s="4" t="s">
        <v>196</v>
      </c>
    </row>
    <row r="190" spans="1:11" ht="15.75" customHeight="1" x14ac:dyDescent="0.25">
      <c r="A190" s="4" t="s">
        <v>193</v>
      </c>
      <c r="B190" s="4" t="s">
        <v>419</v>
      </c>
      <c r="C190" s="4" t="s">
        <v>397</v>
      </c>
      <c r="E190" s="4">
        <v>1</v>
      </c>
      <c r="F190" s="4">
        <v>1</v>
      </c>
      <c r="G190" s="4" t="s">
        <v>199</v>
      </c>
      <c r="H190" s="4" t="s">
        <v>204</v>
      </c>
      <c r="I190" s="4" t="s">
        <v>206</v>
      </c>
      <c r="J190" s="4" t="s">
        <v>195</v>
      </c>
      <c r="K190" s="4" t="s">
        <v>196</v>
      </c>
    </row>
    <row r="191" spans="1:11" ht="15.75" customHeight="1" x14ac:dyDescent="0.25">
      <c r="A191" s="4" t="s">
        <v>193</v>
      </c>
      <c r="B191" s="4" t="s">
        <v>420</v>
      </c>
      <c r="C191" s="4" t="s">
        <v>397</v>
      </c>
      <c r="E191" s="4">
        <v>1</v>
      </c>
      <c r="F191" s="4">
        <v>1</v>
      </c>
      <c r="G191" s="4" t="s">
        <v>199</v>
      </c>
      <c r="H191" s="4" t="s">
        <v>204</v>
      </c>
      <c r="I191" s="4" t="s">
        <v>201</v>
      </c>
      <c r="J191" s="4" t="s">
        <v>195</v>
      </c>
      <c r="K191" s="4" t="s">
        <v>196</v>
      </c>
    </row>
    <row r="192" spans="1:11" ht="15.75" customHeight="1" x14ac:dyDescent="0.25">
      <c r="A192" s="4" t="s">
        <v>193</v>
      </c>
      <c r="B192" s="4" t="s">
        <v>421</v>
      </c>
      <c r="C192" s="4" t="s">
        <v>397</v>
      </c>
      <c r="E192" s="4">
        <v>1</v>
      </c>
      <c r="F192" s="4">
        <v>1</v>
      </c>
      <c r="G192" s="4" t="s">
        <v>199</v>
      </c>
      <c r="H192" s="4" t="s">
        <v>204</v>
      </c>
      <c r="I192" s="4" t="s">
        <v>230</v>
      </c>
      <c r="J192" s="4" t="s">
        <v>195</v>
      </c>
      <c r="K192" s="4" t="s">
        <v>196</v>
      </c>
    </row>
    <row r="193" spans="1:11" ht="15.75" customHeight="1" x14ac:dyDescent="0.25">
      <c r="A193" s="4" t="s">
        <v>193</v>
      </c>
      <c r="B193" s="4" t="s">
        <v>422</v>
      </c>
      <c r="C193" s="4" t="s">
        <v>397</v>
      </c>
      <c r="E193" s="4">
        <v>1</v>
      </c>
      <c r="F193" s="4">
        <v>1</v>
      </c>
      <c r="G193" s="4" t="s">
        <v>199</v>
      </c>
      <c r="H193" s="4" t="s">
        <v>204</v>
      </c>
      <c r="I193" s="4" t="s">
        <v>216</v>
      </c>
      <c r="J193" s="4" t="s">
        <v>195</v>
      </c>
      <c r="K193" s="4" t="s">
        <v>196</v>
      </c>
    </row>
    <row r="194" spans="1:11" ht="15.75" customHeight="1" x14ac:dyDescent="0.25">
      <c r="A194" s="4" t="s">
        <v>193</v>
      </c>
      <c r="B194" s="4" t="s">
        <v>423</v>
      </c>
      <c r="C194" s="4" t="s">
        <v>397</v>
      </c>
      <c r="E194" s="4">
        <v>1</v>
      </c>
      <c r="F194" s="4">
        <v>1</v>
      </c>
      <c r="G194" s="4" t="s">
        <v>199</v>
      </c>
      <c r="H194" s="4" t="s">
        <v>229</v>
      </c>
      <c r="I194" s="4" t="s">
        <v>230</v>
      </c>
      <c r="J194" s="4" t="s">
        <v>195</v>
      </c>
      <c r="K194" s="4" t="s">
        <v>196</v>
      </c>
    </row>
    <row r="195" spans="1:11" ht="15.75" customHeight="1" x14ac:dyDescent="0.25">
      <c r="A195" s="4" t="s">
        <v>193</v>
      </c>
      <c r="B195" s="4" t="s">
        <v>424</v>
      </c>
      <c r="C195" s="4" t="s">
        <v>397</v>
      </c>
      <c r="E195" s="4">
        <v>1</v>
      </c>
      <c r="F195" s="4">
        <v>1</v>
      </c>
      <c r="G195" s="4" t="s">
        <v>199</v>
      </c>
      <c r="H195" s="4" t="s">
        <v>204</v>
      </c>
      <c r="I195" s="4" t="s">
        <v>216</v>
      </c>
      <c r="J195" s="4" t="s">
        <v>195</v>
      </c>
      <c r="K195" s="4" t="s">
        <v>196</v>
      </c>
    </row>
    <row r="196" spans="1:11" ht="15.75" customHeight="1" x14ac:dyDescent="0.25">
      <c r="A196" s="4" t="s">
        <v>193</v>
      </c>
      <c r="B196" s="4" t="s">
        <v>425</v>
      </c>
      <c r="C196" s="4" t="s">
        <v>397</v>
      </c>
      <c r="E196" s="4">
        <v>1</v>
      </c>
      <c r="F196" s="4">
        <v>1</v>
      </c>
      <c r="G196" s="4" t="s">
        <v>199</v>
      </c>
      <c r="H196" s="4" t="s">
        <v>204</v>
      </c>
      <c r="I196" s="4" t="s">
        <v>210</v>
      </c>
      <c r="J196" s="4" t="s">
        <v>195</v>
      </c>
      <c r="K196" s="4" t="s">
        <v>196</v>
      </c>
    </row>
    <row r="197" spans="1:11" ht="15.75" customHeight="1" x14ac:dyDescent="0.25">
      <c r="A197" s="4" t="s">
        <v>193</v>
      </c>
      <c r="B197" s="4" t="s">
        <v>426</v>
      </c>
      <c r="C197" s="4" t="s">
        <v>397</v>
      </c>
      <c r="E197" s="4">
        <v>1</v>
      </c>
      <c r="F197" s="4">
        <v>1</v>
      </c>
      <c r="G197" s="4" t="s">
        <v>199</v>
      </c>
      <c r="H197" s="4" t="s">
        <v>204</v>
      </c>
      <c r="I197" s="4" t="s">
        <v>210</v>
      </c>
      <c r="J197" s="4" t="s">
        <v>195</v>
      </c>
      <c r="K197" s="4" t="s">
        <v>196</v>
      </c>
    </row>
    <row r="198" spans="1:11" ht="15.75" customHeight="1" x14ac:dyDescent="0.25">
      <c r="A198" s="4" t="s">
        <v>193</v>
      </c>
      <c r="B198" s="4" t="s">
        <v>427</v>
      </c>
      <c r="C198" s="4" t="s">
        <v>397</v>
      </c>
      <c r="E198" s="4">
        <v>1</v>
      </c>
      <c r="F198" s="4">
        <v>1</v>
      </c>
      <c r="G198" s="4" t="s">
        <v>199</v>
      </c>
      <c r="H198" s="4" t="s">
        <v>204</v>
      </c>
      <c r="I198" s="4" t="s">
        <v>210</v>
      </c>
      <c r="J198" s="4" t="s">
        <v>195</v>
      </c>
      <c r="K198" s="4" t="s">
        <v>196</v>
      </c>
    </row>
    <row r="199" spans="1:11" ht="15.75" customHeight="1" x14ac:dyDescent="0.25">
      <c r="A199" s="4" t="s">
        <v>193</v>
      </c>
      <c r="B199" s="4" t="s">
        <v>428</v>
      </c>
      <c r="C199" s="4" t="s">
        <v>397</v>
      </c>
      <c r="E199" s="4">
        <v>1</v>
      </c>
      <c r="F199" s="4">
        <v>1</v>
      </c>
      <c r="G199" s="4" t="s">
        <v>199</v>
      </c>
      <c r="H199" s="4" t="s">
        <v>200</v>
      </c>
      <c r="I199" s="4" t="s">
        <v>206</v>
      </c>
      <c r="J199" s="4" t="s">
        <v>195</v>
      </c>
      <c r="K199" s="4" t="s">
        <v>196</v>
      </c>
    </row>
    <row r="200" spans="1:11" ht="15.75" customHeight="1" x14ac:dyDescent="0.25">
      <c r="A200" s="4" t="s">
        <v>193</v>
      </c>
      <c r="B200" s="4" t="s">
        <v>429</v>
      </c>
      <c r="C200" s="4" t="s">
        <v>397</v>
      </c>
      <c r="E200" s="4">
        <v>1</v>
      </c>
      <c r="F200" s="4">
        <v>1</v>
      </c>
      <c r="G200" s="4" t="s">
        <v>199</v>
      </c>
      <c r="H200" s="4" t="s">
        <v>200</v>
      </c>
      <c r="I200" s="4" t="s">
        <v>206</v>
      </c>
      <c r="J200" s="4" t="s">
        <v>195</v>
      </c>
      <c r="K200" s="4" t="s">
        <v>196</v>
      </c>
    </row>
    <row r="201" spans="1:11" ht="15.75" customHeight="1" x14ac:dyDescent="0.25">
      <c r="A201" s="4" t="s">
        <v>193</v>
      </c>
      <c r="B201" s="4" t="s">
        <v>430</v>
      </c>
      <c r="C201" s="4" t="s">
        <v>397</v>
      </c>
      <c r="E201" s="4">
        <v>1</v>
      </c>
      <c r="F201" s="4">
        <v>1</v>
      </c>
      <c r="G201" s="4" t="s">
        <v>199</v>
      </c>
      <c r="H201" s="4" t="s">
        <v>204</v>
      </c>
      <c r="I201" s="4" t="s">
        <v>248</v>
      </c>
      <c r="J201" s="4" t="s">
        <v>195</v>
      </c>
      <c r="K201" s="4" t="s">
        <v>196</v>
      </c>
    </row>
    <row r="202" spans="1:11" ht="15.75" customHeight="1" x14ac:dyDescent="0.25">
      <c r="A202" s="4" t="s">
        <v>193</v>
      </c>
      <c r="B202" s="4" t="s">
        <v>431</v>
      </c>
      <c r="C202" s="4" t="s">
        <v>397</v>
      </c>
      <c r="E202" s="4">
        <v>1</v>
      </c>
      <c r="F202" s="4">
        <v>1</v>
      </c>
      <c r="G202" s="4" t="s">
        <v>199</v>
      </c>
      <c r="H202" s="4" t="s">
        <v>204</v>
      </c>
      <c r="I202" s="4" t="s">
        <v>210</v>
      </c>
      <c r="J202" s="4" t="s">
        <v>195</v>
      </c>
      <c r="K202" s="4" t="s">
        <v>196</v>
      </c>
    </row>
    <row r="203" spans="1:11" ht="15.75" customHeight="1" x14ac:dyDescent="0.25">
      <c r="A203" s="4" t="s">
        <v>193</v>
      </c>
      <c r="B203" s="4" t="s">
        <v>432</v>
      </c>
      <c r="C203" s="4" t="s">
        <v>397</v>
      </c>
      <c r="E203" s="4">
        <v>1</v>
      </c>
      <c r="F203" s="4">
        <v>1</v>
      </c>
      <c r="G203" s="4" t="s">
        <v>199</v>
      </c>
      <c r="H203" s="4" t="s">
        <v>204</v>
      </c>
      <c r="I203" s="4" t="s">
        <v>210</v>
      </c>
      <c r="J203" s="4" t="s">
        <v>195</v>
      </c>
      <c r="K203" s="4" t="s">
        <v>196</v>
      </c>
    </row>
    <row r="204" spans="1:11" ht="15.75" customHeight="1" x14ac:dyDescent="0.25">
      <c r="A204" s="4" t="s">
        <v>193</v>
      </c>
      <c r="B204" s="4" t="s">
        <v>433</v>
      </c>
      <c r="C204" s="4" t="s">
        <v>397</v>
      </c>
      <c r="E204" s="4">
        <v>1</v>
      </c>
      <c r="F204" s="4">
        <v>1</v>
      </c>
      <c r="G204" s="4" t="s">
        <v>199</v>
      </c>
      <c r="H204" s="4" t="s">
        <v>200</v>
      </c>
      <c r="I204" s="4" t="s">
        <v>201</v>
      </c>
      <c r="J204" s="4" t="s">
        <v>195</v>
      </c>
      <c r="K204" s="4" t="s">
        <v>196</v>
      </c>
    </row>
    <row r="205" spans="1:11" ht="15.75" customHeight="1" x14ac:dyDescent="0.25">
      <c r="A205" s="4" t="s">
        <v>193</v>
      </c>
      <c r="B205" s="4" t="s">
        <v>434</v>
      </c>
      <c r="C205" s="4" t="s">
        <v>397</v>
      </c>
      <c r="E205" s="4">
        <v>1</v>
      </c>
      <c r="F205" s="4">
        <v>1</v>
      </c>
      <c r="G205" s="4" t="s">
        <v>199</v>
      </c>
      <c r="H205" s="4" t="s">
        <v>204</v>
      </c>
      <c r="I205" s="4" t="s">
        <v>248</v>
      </c>
      <c r="J205" s="4" t="s">
        <v>195</v>
      </c>
      <c r="K205" s="4" t="s">
        <v>196</v>
      </c>
    </row>
    <row r="206" spans="1:11" ht="15.75" customHeight="1" x14ac:dyDescent="0.25">
      <c r="A206" s="4" t="s">
        <v>193</v>
      </c>
      <c r="B206" s="4" t="s">
        <v>435</v>
      </c>
      <c r="C206" s="4" t="s">
        <v>397</v>
      </c>
      <c r="E206" s="4">
        <v>1</v>
      </c>
      <c r="F206" s="4">
        <v>1</v>
      </c>
      <c r="G206" s="4" t="s">
        <v>199</v>
      </c>
      <c r="H206" s="4" t="s">
        <v>204</v>
      </c>
      <c r="I206" s="4" t="s">
        <v>248</v>
      </c>
      <c r="J206" s="4" t="s">
        <v>195</v>
      </c>
      <c r="K206" s="4" t="s">
        <v>196</v>
      </c>
    </row>
    <row r="207" spans="1:11" ht="15.75" customHeight="1" x14ac:dyDescent="0.25">
      <c r="A207" s="4" t="s">
        <v>193</v>
      </c>
      <c r="B207" s="4" t="s">
        <v>436</v>
      </c>
      <c r="C207" s="4" t="s">
        <v>397</v>
      </c>
      <c r="E207" s="4">
        <v>1</v>
      </c>
      <c r="F207" s="4">
        <v>1</v>
      </c>
      <c r="G207" s="4" t="s">
        <v>199</v>
      </c>
      <c r="H207" s="4" t="s">
        <v>204</v>
      </c>
      <c r="I207" s="4" t="s">
        <v>210</v>
      </c>
      <c r="J207" s="4" t="s">
        <v>195</v>
      </c>
      <c r="K207" s="4" t="s">
        <v>196</v>
      </c>
    </row>
    <row r="208" spans="1:11" ht="15.75" customHeight="1" x14ac:dyDescent="0.25">
      <c r="A208" s="4" t="s">
        <v>193</v>
      </c>
      <c r="B208" s="4" t="s">
        <v>437</v>
      </c>
      <c r="C208" s="4" t="s">
        <v>397</v>
      </c>
      <c r="E208" s="4">
        <v>1</v>
      </c>
      <c r="F208" s="4">
        <v>1</v>
      </c>
      <c r="G208" s="4" t="s">
        <v>199</v>
      </c>
      <c r="H208" s="4" t="s">
        <v>200</v>
      </c>
      <c r="I208" s="4" t="s">
        <v>206</v>
      </c>
      <c r="J208" s="4" t="s">
        <v>195</v>
      </c>
      <c r="K208" s="4" t="s">
        <v>196</v>
      </c>
    </row>
    <row r="209" spans="1:11" ht="15.75" customHeight="1" x14ac:dyDescent="0.25">
      <c r="A209" s="4" t="s">
        <v>193</v>
      </c>
      <c r="B209" s="4" t="s">
        <v>438</v>
      </c>
      <c r="C209" s="4" t="s">
        <v>397</v>
      </c>
      <c r="E209" s="4">
        <v>1</v>
      </c>
      <c r="F209" s="4">
        <v>1</v>
      </c>
      <c r="G209" s="4" t="s">
        <v>199</v>
      </c>
      <c r="H209" s="4" t="s">
        <v>204</v>
      </c>
      <c r="I209" s="4" t="s">
        <v>210</v>
      </c>
      <c r="J209" s="4" t="s">
        <v>195</v>
      </c>
      <c r="K209" s="4" t="s">
        <v>196</v>
      </c>
    </row>
    <row r="210" spans="1:11" ht="15.75" customHeight="1" x14ac:dyDescent="0.25">
      <c r="A210" s="4" t="s">
        <v>193</v>
      </c>
      <c r="B210" s="4" t="s">
        <v>439</v>
      </c>
      <c r="C210" s="4" t="s">
        <v>397</v>
      </c>
      <c r="E210" s="4">
        <v>1</v>
      </c>
      <c r="F210" s="4">
        <v>1</v>
      </c>
      <c r="G210" s="4" t="s">
        <v>199</v>
      </c>
      <c r="H210" s="4" t="s">
        <v>204</v>
      </c>
      <c r="I210" s="4" t="s">
        <v>248</v>
      </c>
      <c r="J210" s="4" t="s">
        <v>195</v>
      </c>
      <c r="K210" s="4" t="s">
        <v>196</v>
      </c>
    </row>
    <row r="211" spans="1:11" ht="15.75" customHeight="1" x14ac:dyDescent="0.25">
      <c r="A211" s="4" t="s">
        <v>193</v>
      </c>
      <c r="B211" s="4" t="s">
        <v>440</v>
      </c>
      <c r="C211" s="4" t="s">
        <v>441</v>
      </c>
      <c r="E211" s="4">
        <v>1</v>
      </c>
      <c r="F211" s="4">
        <v>1</v>
      </c>
      <c r="G211" s="4" t="s">
        <v>199</v>
      </c>
      <c r="H211" s="4" t="s">
        <v>200</v>
      </c>
      <c r="I211" s="4" t="s">
        <v>206</v>
      </c>
      <c r="J211" s="4" t="s">
        <v>195</v>
      </c>
      <c r="K211" s="4" t="s">
        <v>196</v>
      </c>
    </row>
    <row r="212" spans="1:11" ht="15.75" customHeight="1" x14ac:dyDescent="0.25">
      <c r="A212" s="4" t="s">
        <v>193</v>
      </c>
      <c r="B212" s="4" t="s">
        <v>442</v>
      </c>
      <c r="C212" s="4" t="s">
        <v>441</v>
      </c>
      <c r="E212" s="4">
        <v>1</v>
      </c>
      <c r="F212" s="4">
        <v>1</v>
      </c>
      <c r="G212" s="4" t="s">
        <v>199</v>
      </c>
      <c r="H212" s="4" t="s">
        <v>200</v>
      </c>
      <c r="I212" s="4" t="s">
        <v>206</v>
      </c>
      <c r="J212" s="4" t="s">
        <v>195</v>
      </c>
      <c r="K212" s="4" t="s">
        <v>196</v>
      </c>
    </row>
    <row r="213" spans="1:11" ht="15.75" customHeight="1" x14ac:dyDescent="0.25">
      <c r="A213" s="4" t="s">
        <v>193</v>
      </c>
      <c r="B213" s="4" t="s">
        <v>443</v>
      </c>
      <c r="C213" s="4" t="s">
        <v>395</v>
      </c>
      <c r="E213" s="4">
        <v>1</v>
      </c>
      <c r="F213" s="4">
        <v>1</v>
      </c>
      <c r="G213" s="4" t="s">
        <v>199</v>
      </c>
      <c r="H213" s="4" t="s">
        <v>200</v>
      </c>
      <c r="I213" s="4" t="s">
        <v>206</v>
      </c>
      <c r="J213" s="4" t="s">
        <v>195</v>
      </c>
      <c r="K213" s="4" t="s">
        <v>196</v>
      </c>
    </row>
    <row r="214" spans="1:11" ht="15.75" customHeight="1" x14ac:dyDescent="0.25">
      <c r="A214" s="4" t="s">
        <v>193</v>
      </c>
      <c r="B214" s="4" t="s">
        <v>444</v>
      </c>
      <c r="C214" s="4" t="s">
        <v>441</v>
      </c>
      <c r="E214" s="4">
        <v>1</v>
      </c>
      <c r="F214" s="4">
        <v>1</v>
      </c>
      <c r="G214" s="4" t="s">
        <v>199</v>
      </c>
      <c r="H214" s="4" t="s">
        <v>200</v>
      </c>
      <c r="I214" s="4" t="s">
        <v>201</v>
      </c>
      <c r="J214" s="4" t="s">
        <v>195</v>
      </c>
      <c r="K214" s="4" t="s">
        <v>196</v>
      </c>
    </row>
    <row r="215" spans="1:11" ht="15.75" customHeight="1" x14ac:dyDescent="0.25">
      <c r="A215" s="4" t="s">
        <v>193</v>
      </c>
      <c r="B215" s="4" t="s">
        <v>445</v>
      </c>
      <c r="C215" s="4" t="s">
        <v>446</v>
      </c>
      <c r="E215" s="4">
        <v>1</v>
      </c>
      <c r="F215" s="4">
        <v>1</v>
      </c>
      <c r="G215" s="4" t="s">
        <v>199</v>
      </c>
      <c r="H215" s="4" t="s">
        <v>200</v>
      </c>
      <c r="I215" s="4" t="s">
        <v>201</v>
      </c>
      <c r="J215" s="4" t="s">
        <v>195</v>
      </c>
      <c r="K215" s="4" t="s">
        <v>196</v>
      </c>
    </row>
    <row r="216" spans="1:11" ht="15.75" customHeight="1" x14ac:dyDescent="0.25">
      <c r="A216" s="4" t="s">
        <v>193</v>
      </c>
      <c r="B216" s="4" t="s">
        <v>447</v>
      </c>
      <c r="C216" s="4" t="s">
        <v>441</v>
      </c>
      <c r="E216" s="4">
        <v>1</v>
      </c>
      <c r="F216" s="4">
        <v>1</v>
      </c>
      <c r="G216" s="4" t="s">
        <v>199</v>
      </c>
      <c r="H216" s="4" t="s">
        <v>204</v>
      </c>
      <c r="I216" s="4" t="s">
        <v>230</v>
      </c>
      <c r="J216" s="4" t="s">
        <v>195</v>
      </c>
      <c r="K216" s="4" t="s">
        <v>196</v>
      </c>
    </row>
    <row r="217" spans="1:11" ht="15.75" customHeight="1" x14ac:dyDescent="0.25">
      <c r="A217" s="4" t="s">
        <v>193</v>
      </c>
      <c r="B217" s="4" t="s">
        <v>448</v>
      </c>
      <c r="C217" s="4" t="s">
        <v>449</v>
      </c>
      <c r="E217" s="4">
        <v>1</v>
      </c>
      <c r="F217" s="4">
        <v>1</v>
      </c>
      <c r="G217" s="4" t="s">
        <v>199</v>
      </c>
      <c r="H217" s="4" t="s">
        <v>204</v>
      </c>
      <c r="I217" s="4" t="s">
        <v>210</v>
      </c>
      <c r="J217" s="4" t="s">
        <v>195</v>
      </c>
      <c r="K217" s="4" t="s">
        <v>196</v>
      </c>
    </row>
    <row r="218" spans="1:11" ht="15.75" customHeight="1" x14ac:dyDescent="0.25">
      <c r="A218" s="4" t="s">
        <v>193</v>
      </c>
      <c r="B218" s="4" t="s">
        <v>450</v>
      </c>
      <c r="C218" s="4" t="s">
        <v>449</v>
      </c>
      <c r="E218" s="4">
        <v>1</v>
      </c>
      <c r="F218" s="4">
        <v>1</v>
      </c>
      <c r="G218" s="4" t="s">
        <v>199</v>
      </c>
      <c r="H218" s="4" t="s">
        <v>204</v>
      </c>
      <c r="I218" s="4" t="s">
        <v>210</v>
      </c>
      <c r="J218" s="4" t="s">
        <v>195</v>
      </c>
      <c r="K218" s="4" t="s">
        <v>196</v>
      </c>
    </row>
    <row r="219" spans="1:11" ht="15.75" customHeight="1" x14ac:dyDescent="0.25">
      <c r="A219" s="4" t="s">
        <v>193</v>
      </c>
      <c r="B219" s="4" t="s">
        <v>451</v>
      </c>
      <c r="C219" s="4" t="s">
        <v>452</v>
      </c>
      <c r="E219" s="4">
        <v>1</v>
      </c>
      <c r="F219" s="4">
        <v>1</v>
      </c>
      <c r="G219" s="4" t="s">
        <v>199</v>
      </c>
      <c r="H219" s="4" t="s">
        <v>204</v>
      </c>
      <c r="I219" s="4" t="s">
        <v>201</v>
      </c>
      <c r="J219" s="4" t="s">
        <v>195</v>
      </c>
      <c r="K219" s="4" t="s">
        <v>196</v>
      </c>
    </row>
    <row r="220" spans="1:11" ht="15.75" customHeight="1" x14ac:dyDescent="0.25">
      <c r="A220" s="4" t="s">
        <v>193</v>
      </c>
      <c r="B220" s="4" t="s">
        <v>453</v>
      </c>
      <c r="C220" s="4" t="s">
        <v>452</v>
      </c>
      <c r="E220" s="4">
        <v>1</v>
      </c>
      <c r="F220" s="4">
        <v>1</v>
      </c>
      <c r="G220" s="4" t="s">
        <v>199</v>
      </c>
      <c r="H220" s="4" t="s">
        <v>204</v>
      </c>
      <c r="I220" s="4" t="s">
        <v>248</v>
      </c>
      <c r="J220" s="4" t="s">
        <v>195</v>
      </c>
      <c r="K220" s="4" t="s">
        <v>196</v>
      </c>
    </row>
    <row r="221" spans="1:11" ht="15.75" customHeight="1" x14ac:dyDescent="0.25">
      <c r="A221" s="4" t="s">
        <v>193</v>
      </c>
      <c r="B221" s="4" t="s">
        <v>454</v>
      </c>
      <c r="C221" s="4" t="s">
        <v>452</v>
      </c>
      <c r="E221" s="4">
        <v>1</v>
      </c>
      <c r="F221" s="4">
        <v>1</v>
      </c>
      <c r="G221" s="4" t="s">
        <v>199</v>
      </c>
      <c r="H221" s="4" t="s">
        <v>204</v>
      </c>
      <c r="I221" s="4" t="s">
        <v>248</v>
      </c>
      <c r="J221" s="4" t="s">
        <v>195</v>
      </c>
      <c r="K221" s="4" t="s">
        <v>196</v>
      </c>
    </row>
    <row r="222" spans="1:11" ht="15.75" customHeight="1" x14ac:dyDescent="0.25">
      <c r="A222" s="4" t="s">
        <v>193</v>
      </c>
      <c r="B222" s="4" t="s">
        <v>455</v>
      </c>
      <c r="C222" s="4" t="s">
        <v>452</v>
      </c>
      <c r="E222" s="4">
        <v>1</v>
      </c>
      <c r="F222" s="4">
        <v>1</v>
      </c>
      <c r="G222" s="4" t="s">
        <v>199</v>
      </c>
      <c r="H222" s="4" t="s">
        <v>204</v>
      </c>
      <c r="I222" s="4" t="s">
        <v>248</v>
      </c>
      <c r="J222" s="4" t="s">
        <v>195</v>
      </c>
      <c r="K222" s="4" t="s">
        <v>196</v>
      </c>
    </row>
    <row r="223" spans="1:11" ht="15.75" customHeight="1" x14ac:dyDescent="0.25">
      <c r="A223" s="4" t="s">
        <v>193</v>
      </c>
      <c r="B223" s="4" t="s">
        <v>456</v>
      </c>
      <c r="C223" s="4" t="s">
        <v>452</v>
      </c>
      <c r="E223" s="4">
        <v>1</v>
      </c>
      <c r="F223" s="4">
        <v>1</v>
      </c>
      <c r="G223" s="4" t="s">
        <v>199</v>
      </c>
      <c r="H223" s="4" t="s">
        <v>204</v>
      </c>
      <c r="I223" s="4" t="s">
        <v>210</v>
      </c>
      <c r="J223" s="4" t="s">
        <v>195</v>
      </c>
      <c r="K223" s="4" t="s">
        <v>196</v>
      </c>
    </row>
    <row r="224" spans="1:11" ht="15.75" customHeight="1" x14ac:dyDescent="0.25">
      <c r="A224" s="4" t="s">
        <v>193</v>
      </c>
      <c r="B224" s="4" t="s">
        <v>457</v>
      </c>
      <c r="C224" s="4" t="s">
        <v>452</v>
      </c>
      <c r="E224" s="4">
        <v>1</v>
      </c>
      <c r="F224" s="4">
        <v>1</v>
      </c>
      <c r="G224" s="4" t="s">
        <v>199</v>
      </c>
      <c r="H224" s="4" t="s">
        <v>204</v>
      </c>
      <c r="I224" s="4" t="s">
        <v>210</v>
      </c>
      <c r="J224" s="4" t="s">
        <v>195</v>
      </c>
      <c r="K224" s="4" t="s">
        <v>196</v>
      </c>
    </row>
    <row r="225" spans="1:11" ht="15.75" customHeight="1" x14ac:dyDescent="0.25">
      <c r="A225" s="4" t="s">
        <v>193</v>
      </c>
      <c r="B225" s="4" t="s">
        <v>458</v>
      </c>
      <c r="C225" s="4" t="s">
        <v>452</v>
      </c>
      <c r="E225" s="4">
        <v>1</v>
      </c>
      <c r="F225" s="4">
        <v>1</v>
      </c>
      <c r="G225" s="4" t="s">
        <v>199</v>
      </c>
      <c r="H225" s="4" t="s">
        <v>204</v>
      </c>
      <c r="I225" s="4" t="s">
        <v>210</v>
      </c>
      <c r="J225" s="4" t="s">
        <v>195</v>
      </c>
      <c r="K225" s="4" t="s">
        <v>196</v>
      </c>
    </row>
    <row r="226" spans="1:11" ht="15.75" customHeight="1" x14ac:dyDescent="0.25">
      <c r="A226" s="4" t="s">
        <v>193</v>
      </c>
      <c r="B226" s="4" t="s">
        <v>459</v>
      </c>
      <c r="C226" s="4" t="s">
        <v>452</v>
      </c>
      <c r="E226" s="4">
        <v>1</v>
      </c>
      <c r="F226" s="4">
        <v>1</v>
      </c>
      <c r="G226" s="4" t="s">
        <v>199</v>
      </c>
      <c r="H226" s="4" t="s">
        <v>204</v>
      </c>
      <c r="I226" s="4" t="s">
        <v>210</v>
      </c>
      <c r="J226" s="4" t="s">
        <v>195</v>
      </c>
      <c r="K226" s="4" t="s">
        <v>196</v>
      </c>
    </row>
    <row r="227" spans="1:11" ht="15.75" customHeight="1" x14ac:dyDescent="0.25">
      <c r="A227" s="4" t="s">
        <v>193</v>
      </c>
      <c r="B227" s="4" t="s">
        <v>460</v>
      </c>
      <c r="C227" s="4" t="s">
        <v>452</v>
      </c>
      <c r="E227" s="4">
        <v>1</v>
      </c>
      <c r="F227" s="4">
        <v>1</v>
      </c>
      <c r="G227" s="4" t="s">
        <v>199</v>
      </c>
      <c r="H227" s="4" t="s">
        <v>204</v>
      </c>
      <c r="I227" s="4" t="s">
        <v>210</v>
      </c>
      <c r="J227" s="4" t="s">
        <v>195</v>
      </c>
      <c r="K227" s="4" t="s">
        <v>196</v>
      </c>
    </row>
    <row r="228" spans="1:11" ht="15.75" customHeight="1" x14ac:dyDescent="0.25">
      <c r="A228" s="4" t="s">
        <v>193</v>
      </c>
      <c r="B228" s="4" t="s">
        <v>461</v>
      </c>
      <c r="C228" s="4" t="s">
        <v>452</v>
      </c>
      <c r="E228" s="4">
        <v>1</v>
      </c>
      <c r="F228" s="4">
        <v>1</v>
      </c>
      <c r="G228" s="4" t="s">
        <v>199</v>
      </c>
      <c r="H228" s="4" t="s">
        <v>204</v>
      </c>
      <c r="I228" s="4" t="s">
        <v>210</v>
      </c>
      <c r="J228" s="4" t="s">
        <v>195</v>
      </c>
      <c r="K228" s="4" t="s">
        <v>196</v>
      </c>
    </row>
    <row r="229" spans="1:11" ht="15.75" customHeight="1" x14ac:dyDescent="0.25">
      <c r="A229" s="4" t="s">
        <v>193</v>
      </c>
      <c r="B229" s="4" t="s">
        <v>462</v>
      </c>
      <c r="C229" s="4" t="s">
        <v>452</v>
      </c>
      <c r="E229" s="4">
        <v>1</v>
      </c>
      <c r="F229" s="4">
        <v>1</v>
      </c>
      <c r="G229" s="4" t="s">
        <v>199</v>
      </c>
      <c r="H229" s="4" t="s">
        <v>204</v>
      </c>
      <c r="I229" s="4" t="s">
        <v>225</v>
      </c>
      <c r="J229" s="4" t="s">
        <v>195</v>
      </c>
      <c r="K229" s="4" t="s">
        <v>196</v>
      </c>
    </row>
    <row r="230" spans="1:11" ht="15.75" customHeight="1" x14ac:dyDescent="0.25">
      <c r="A230" s="4" t="s">
        <v>193</v>
      </c>
      <c r="B230" s="4" t="s">
        <v>463</v>
      </c>
      <c r="C230" s="4" t="s">
        <v>452</v>
      </c>
      <c r="E230" s="4">
        <v>1</v>
      </c>
      <c r="F230" s="4">
        <v>1</v>
      </c>
      <c r="G230" s="4" t="s">
        <v>199</v>
      </c>
      <c r="H230" s="4" t="s">
        <v>204</v>
      </c>
      <c r="I230" s="4" t="s">
        <v>227</v>
      </c>
      <c r="J230" s="4" t="s">
        <v>195</v>
      </c>
      <c r="K230" s="4" t="s">
        <v>196</v>
      </c>
    </row>
    <row r="231" spans="1:11" ht="15.75" customHeight="1" x14ac:dyDescent="0.25">
      <c r="A231" s="4" t="s">
        <v>193</v>
      </c>
      <c r="B231" s="4" t="s">
        <v>464</v>
      </c>
      <c r="C231" s="4" t="s">
        <v>452</v>
      </c>
      <c r="E231" s="4">
        <v>1</v>
      </c>
      <c r="F231" s="4">
        <v>1</v>
      </c>
      <c r="G231" s="4" t="s">
        <v>199</v>
      </c>
      <c r="H231" s="4" t="s">
        <v>204</v>
      </c>
      <c r="I231" s="4" t="s">
        <v>212</v>
      </c>
      <c r="J231" s="4" t="s">
        <v>195</v>
      </c>
      <c r="K231" s="4" t="s">
        <v>196</v>
      </c>
    </row>
    <row r="232" spans="1:11" ht="15.75" customHeight="1" x14ac:dyDescent="0.25">
      <c r="A232" s="4" t="s">
        <v>193</v>
      </c>
      <c r="B232" s="4" t="s">
        <v>465</v>
      </c>
      <c r="C232" s="4" t="s">
        <v>452</v>
      </c>
      <c r="E232" s="4">
        <v>1</v>
      </c>
      <c r="F232" s="4">
        <v>1</v>
      </c>
      <c r="G232" s="4" t="s">
        <v>199</v>
      </c>
      <c r="H232" s="4" t="s">
        <v>204</v>
      </c>
      <c r="I232" s="4" t="s">
        <v>206</v>
      </c>
      <c r="J232" s="4" t="s">
        <v>195</v>
      </c>
      <c r="K232" s="4" t="s">
        <v>196</v>
      </c>
    </row>
    <row r="233" spans="1:11" ht="15.75" customHeight="1" x14ac:dyDescent="0.25">
      <c r="A233" s="4" t="s">
        <v>193</v>
      </c>
      <c r="B233" s="4" t="s">
        <v>466</v>
      </c>
      <c r="C233" s="4" t="s">
        <v>452</v>
      </c>
      <c r="E233" s="4">
        <v>1</v>
      </c>
      <c r="F233" s="4">
        <v>1</v>
      </c>
      <c r="G233" s="4" t="s">
        <v>199</v>
      </c>
      <c r="H233" s="4" t="s">
        <v>204</v>
      </c>
      <c r="I233" s="4" t="s">
        <v>206</v>
      </c>
      <c r="J233" s="4" t="s">
        <v>195</v>
      </c>
      <c r="K233" s="4" t="s">
        <v>196</v>
      </c>
    </row>
    <row r="234" spans="1:11" ht="15.75" customHeight="1" x14ac:dyDescent="0.25">
      <c r="A234" s="4" t="s">
        <v>193</v>
      </c>
      <c r="B234" s="4" t="s">
        <v>467</v>
      </c>
      <c r="C234" s="4" t="s">
        <v>452</v>
      </c>
      <c r="E234" s="4">
        <v>1</v>
      </c>
      <c r="F234" s="4">
        <v>1</v>
      </c>
      <c r="G234" s="4" t="s">
        <v>199</v>
      </c>
      <c r="H234" s="4" t="s">
        <v>204</v>
      </c>
      <c r="I234" s="4" t="s">
        <v>225</v>
      </c>
      <c r="J234" s="4" t="s">
        <v>195</v>
      </c>
      <c r="K234" s="4" t="s">
        <v>196</v>
      </c>
    </row>
    <row r="235" spans="1:11" ht="15.75" customHeight="1" x14ac:dyDescent="0.25">
      <c r="A235" s="4" t="s">
        <v>193</v>
      </c>
      <c r="B235" s="4" t="s">
        <v>468</v>
      </c>
      <c r="C235" s="4" t="s">
        <v>452</v>
      </c>
      <c r="E235" s="4">
        <v>1</v>
      </c>
      <c r="F235" s="4">
        <v>1</v>
      </c>
      <c r="G235" s="4" t="s">
        <v>199</v>
      </c>
      <c r="H235" s="4" t="s">
        <v>204</v>
      </c>
      <c r="I235" s="4" t="s">
        <v>227</v>
      </c>
      <c r="J235" s="4" t="s">
        <v>195</v>
      </c>
      <c r="K235" s="4" t="s">
        <v>196</v>
      </c>
    </row>
    <row r="236" spans="1:11" ht="15.75" customHeight="1" x14ac:dyDescent="0.25">
      <c r="A236" s="4" t="s">
        <v>193</v>
      </c>
      <c r="B236" s="4" t="s">
        <v>469</v>
      </c>
      <c r="C236" s="4" t="s">
        <v>452</v>
      </c>
      <c r="E236" s="4">
        <v>1</v>
      </c>
      <c r="F236" s="4">
        <v>1</v>
      </c>
      <c r="G236" s="4" t="s">
        <v>199</v>
      </c>
      <c r="H236" s="4" t="s">
        <v>204</v>
      </c>
      <c r="I236" s="4" t="s">
        <v>212</v>
      </c>
      <c r="J236" s="4" t="s">
        <v>195</v>
      </c>
      <c r="K236" s="4" t="s">
        <v>196</v>
      </c>
    </row>
    <row r="237" spans="1:11" ht="15.75" customHeight="1" x14ac:dyDescent="0.25">
      <c r="A237" s="4" t="s">
        <v>193</v>
      </c>
      <c r="B237" s="4" t="s">
        <v>470</v>
      </c>
      <c r="C237" s="4" t="s">
        <v>452</v>
      </c>
      <c r="E237" s="4">
        <v>1</v>
      </c>
      <c r="F237" s="4">
        <v>1</v>
      </c>
      <c r="G237" s="4" t="s">
        <v>199</v>
      </c>
      <c r="H237" s="4" t="s">
        <v>204</v>
      </c>
      <c r="I237" s="4" t="s">
        <v>248</v>
      </c>
      <c r="J237" s="4" t="s">
        <v>195</v>
      </c>
      <c r="K237" s="4" t="s">
        <v>196</v>
      </c>
    </row>
    <row r="238" spans="1:11" ht="15.75" customHeight="1" x14ac:dyDescent="0.25">
      <c r="A238" s="4" t="s">
        <v>193</v>
      </c>
      <c r="B238" s="4" t="s">
        <v>471</v>
      </c>
      <c r="C238" s="4" t="s">
        <v>452</v>
      </c>
      <c r="E238" s="4">
        <v>1</v>
      </c>
      <c r="F238" s="4">
        <v>1</v>
      </c>
      <c r="G238" s="4" t="s">
        <v>199</v>
      </c>
      <c r="H238" s="4" t="s">
        <v>204</v>
      </c>
      <c r="I238" s="4" t="s">
        <v>201</v>
      </c>
      <c r="J238" s="4" t="s">
        <v>195</v>
      </c>
      <c r="K238" s="4" t="s">
        <v>196</v>
      </c>
    </row>
    <row r="239" spans="1:11" ht="15.75" customHeight="1" x14ac:dyDescent="0.25">
      <c r="A239" s="4" t="s">
        <v>193</v>
      </c>
      <c r="B239" s="4" t="s">
        <v>472</v>
      </c>
      <c r="C239" s="4" t="s">
        <v>452</v>
      </c>
      <c r="E239" s="4">
        <v>1</v>
      </c>
      <c r="F239" s="4">
        <v>1</v>
      </c>
      <c r="G239" s="4" t="s">
        <v>199</v>
      </c>
      <c r="H239" s="4" t="s">
        <v>204</v>
      </c>
      <c r="I239" s="4" t="s">
        <v>248</v>
      </c>
      <c r="J239" s="4" t="s">
        <v>195</v>
      </c>
      <c r="K239" s="4" t="s">
        <v>196</v>
      </c>
    </row>
    <row r="240" spans="1:11" ht="15.75" customHeight="1" x14ac:dyDescent="0.25">
      <c r="A240" s="4" t="s">
        <v>193</v>
      </c>
      <c r="B240" s="4" t="s">
        <v>473</v>
      </c>
      <c r="C240" s="4" t="s">
        <v>452</v>
      </c>
      <c r="E240" s="4">
        <v>1</v>
      </c>
      <c r="F240" s="4">
        <v>1</v>
      </c>
      <c r="G240" s="4" t="s">
        <v>199</v>
      </c>
      <c r="H240" s="4" t="s">
        <v>204</v>
      </c>
      <c r="I240" s="4" t="s">
        <v>248</v>
      </c>
      <c r="J240" s="4" t="s">
        <v>195</v>
      </c>
      <c r="K240" s="4" t="s">
        <v>196</v>
      </c>
    </row>
    <row r="241" spans="1:11" ht="15.75" customHeight="1" x14ac:dyDescent="0.25">
      <c r="A241" s="4" t="s">
        <v>193</v>
      </c>
      <c r="B241" s="4" t="s">
        <v>474</v>
      </c>
      <c r="C241" s="4" t="s">
        <v>452</v>
      </c>
      <c r="E241" s="4">
        <v>1</v>
      </c>
      <c r="F241" s="4">
        <v>1</v>
      </c>
      <c r="G241" s="4" t="s">
        <v>199</v>
      </c>
      <c r="H241" s="4" t="s">
        <v>204</v>
      </c>
      <c r="I241" s="4" t="s">
        <v>210</v>
      </c>
      <c r="J241" s="4" t="s">
        <v>195</v>
      </c>
      <c r="K241" s="4" t="s">
        <v>196</v>
      </c>
    </row>
    <row r="242" spans="1:11" ht="15.75" customHeight="1" x14ac:dyDescent="0.25">
      <c r="A242" s="4" t="s">
        <v>193</v>
      </c>
      <c r="B242" s="4" t="s">
        <v>475</v>
      </c>
      <c r="C242" s="4" t="s">
        <v>452</v>
      </c>
      <c r="E242" s="4">
        <v>1</v>
      </c>
      <c r="F242" s="4">
        <v>1</v>
      </c>
      <c r="G242" s="4" t="s">
        <v>199</v>
      </c>
      <c r="H242" s="4" t="s">
        <v>204</v>
      </c>
      <c r="I242" s="4" t="s">
        <v>225</v>
      </c>
      <c r="J242" s="4" t="s">
        <v>195</v>
      </c>
      <c r="K242" s="4" t="s">
        <v>196</v>
      </c>
    </row>
    <row r="243" spans="1:11" ht="15.75" customHeight="1" x14ac:dyDescent="0.25">
      <c r="A243" s="4" t="s">
        <v>193</v>
      </c>
      <c r="B243" s="4" t="s">
        <v>476</v>
      </c>
      <c r="C243" s="4" t="s">
        <v>452</v>
      </c>
      <c r="E243" s="4">
        <v>1</v>
      </c>
      <c r="F243" s="4">
        <v>1</v>
      </c>
      <c r="G243" s="4" t="s">
        <v>199</v>
      </c>
      <c r="H243" s="4" t="s">
        <v>204</v>
      </c>
      <c r="I243" s="4" t="s">
        <v>227</v>
      </c>
      <c r="J243" s="4" t="s">
        <v>195</v>
      </c>
      <c r="K243" s="4" t="s">
        <v>196</v>
      </c>
    </row>
    <row r="244" spans="1:11" ht="15.75" customHeight="1" x14ac:dyDescent="0.25">
      <c r="A244" s="4" t="s">
        <v>193</v>
      </c>
      <c r="B244" s="4" t="s">
        <v>477</v>
      </c>
      <c r="C244" s="4" t="s">
        <v>452</v>
      </c>
      <c r="E244" s="4">
        <v>1</v>
      </c>
      <c r="F244" s="4">
        <v>1</v>
      </c>
      <c r="G244" s="4" t="s">
        <v>199</v>
      </c>
      <c r="H244" s="4" t="s">
        <v>229</v>
      </c>
      <c r="I244" s="4" t="s">
        <v>230</v>
      </c>
      <c r="J244" s="4" t="s">
        <v>195</v>
      </c>
      <c r="K244" s="4" t="s">
        <v>196</v>
      </c>
    </row>
    <row r="245" spans="1:11" ht="15.75" customHeight="1" x14ac:dyDescent="0.25">
      <c r="A245" s="4" t="s">
        <v>193</v>
      </c>
      <c r="B245" s="4" t="s">
        <v>478</v>
      </c>
      <c r="C245" s="4" t="s">
        <v>452</v>
      </c>
      <c r="E245" s="4">
        <v>1</v>
      </c>
      <c r="F245" s="4">
        <v>1</v>
      </c>
      <c r="G245" s="4" t="s">
        <v>199</v>
      </c>
      <c r="H245" s="4" t="s">
        <v>204</v>
      </c>
      <c r="I245" s="4" t="s">
        <v>212</v>
      </c>
      <c r="J245" s="4" t="s">
        <v>195</v>
      </c>
      <c r="K245" s="4" t="s">
        <v>196</v>
      </c>
    </row>
    <row r="246" spans="1:11" ht="15.75" customHeight="1" x14ac:dyDescent="0.25">
      <c r="A246" s="4" t="s">
        <v>193</v>
      </c>
      <c r="B246" s="4" t="s">
        <v>479</v>
      </c>
      <c r="C246" s="4" t="s">
        <v>452</v>
      </c>
      <c r="E246" s="4">
        <v>1</v>
      </c>
      <c r="F246" s="4">
        <v>1</v>
      </c>
      <c r="G246" s="4" t="s">
        <v>199</v>
      </c>
      <c r="H246" s="4" t="s">
        <v>229</v>
      </c>
      <c r="I246" s="4" t="s">
        <v>230</v>
      </c>
      <c r="J246" s="4" t="s">
        <v>195</v>
      </c>
      <c r="K246" s="4" t="s">
        <v>196</v>
      </c>
    </row>
    <row r="247" spans="1:11" ht="15.75" customHeight="1" x14ac:dyDescent="0.25">
      <c r="A247" s="4" t="s">
        <v>193</v>
      </c>
      <c r="B247" s="4" t="s">
        <v>480</v>
      </c>
      <c r="C247" s="4" t="s">
        <v>452</v>
      </c>
      <c r="E247" s="4">
        <v>1</v>
      </c>
      <c r="F247" s="4">
        <v>1</v>
      </c>
      <c r="G247" s="4" t="s">
        <v>199</v>
      </c>
      <c r="H247" s="4" t="s">
        <v>204</v>
      </c>
      <c r="I247" s="4" t="s">
        <v>206</v>
      </c>
      <c r="J247" s="4" t="s">
        <v>195</v>
      </c>
      <c r="K247" s="4" t="s">
        <v>196</v>
      </c>
    </row>
    <row r="248" spans="1:11" ht="15.75" customHeight="1" x14ac:dyDescent="0.25">
      <c r="A248" s="4" t="s">
        <v>193</v>
      </c>
      <c r="B248" s="4" t="s">
        <v>481</v>
      </c>
      <c r="C248" s="4" t="s">
        <v>452</v>
      </c>
      <c r="E248" s="4">
        <v>1</v>
      </c>
      <c r="F248" s="4">
        <v>1</v>
      </c>
      <c r="G248" s="4" t="s">
        <v>199</v>
      </c>
      <c r="H248" s="4" t="s">
        <v>204</v>
      </c>
      <c r="I248" s="4" t="s">
        <v>206</v>
      </c>
      <c r="J248" s="4" t="s">
        <v>195</v>
      </c>
      <c r="K248" s="4" t="s">
        <v>196</v>
      </c>
    </row>
    <row r="249" spans="1:11" ht="15.75" customHeight="1" x14ac:dyDescent="0.25">
      <c r="A249" s="4" t="s">
        <v>193</v>
      </c>
      <c r="B249" s="4" t="s">
        <v>482</v>
      </c>
      <c r="C249" s="4" t="s">
        <v>452</v>
      </c>
      <c r="E249" s="4">
        <v>1</v>
      </c>
      <c r="F249" s="4">
        <v>1</v>
      </c>
      <c r="G249" s="4" t="s">
        <v>199</v>
      </c>
      <c r="H249" s="4" t="s">
        <v>204</v>
      </c>
      <c r="I249" s="4" t="s">
        <v>225</v>
      </c>
      <c r="J249" s="4" t="s">
        <v>195</v>
      </c>
      <c r="K249" s="4" t="s">
        <v>196</v>
      </c>
    </row>
    <row r="250" spans="1:11" ht="15.75" customHeight="1" x14ac:dyDescent="0.25">
      <c r="A250" s="4" t="s">
        <v>193</v>
      </c>
      <c r="B250" s="4" t="s">
        <v>483</v>
      </c>
      <c r="C250" s="4" t="s">
        <v>452</v>
      </c>
      <c r="E250" s="4">
        <v>1</v>
      </c>
      <c r="F250" s="4">
        <v>1</v>
      </c>
      <c r="G250" s="4" t="s">
        <v>199</v>
      </c>
      <c r="H250" s="4" t="s">
        <v>204</v>
      </c>
      <c r="I250" s="4" t="s">
        <v>227</v>
      </c>
      <c r="J250" s="4" t="s">
        <v>195</v>
      </c>
      <c r="K250" s="4" t="s">
        <v>196</v>
      </c>
    </row>
    <row r="251" spans="1:11" ht="15.75" customHeight="1" x14ac:dyDescent="0.25">
      <c r="A251" s="4" t="s">
        <v>193</v>
      </c>
      <c r="B251" s="4" t="s">
        <v>484</v>
      </c>
      <c r="C251" s="4" t="s">
        <v>452</v>
      </c>
      <c r="E251" s="4">
        <v>1</v>
      </c>
      <c r="F251" s="4">
        <v>1</v>
      </c>
      <c r="G251" s="4" t="s">
        <v>199</v>
      </c>
      <c r="H251" s="4" t="s">
        <v>229</v>
      </c>
      <c r="I251" s="4" t="s">
        <v>230</v>
      </c>
      <c r="J251" s="4" t="s">
        <v>195</v>
      </c>
      <c r="K251" s="4" t="s">
        <v>196</v>
      </c>
    </row>
    <row r="252" spans="1:11" ht="15.75" customHeight="1" x14ac:dyDescent="0.25">
      <c r="A252" s="4" t="s">
        <v>193</v>
      </c>
      <c r="B252" s="4" t="s">
        <v>485</v>
      </c>
      <c r="C252" s="4" t="s">
        <v>452</v>
      </c>
      <c r="E252" s="4">
        <v>1</v>
      </c>
      <c r="F252" s="4">
        <v>1</v>
      </c>
      <c r="G252" s="4" t="s">
        <v>199</v>
      </c>
      <c r="H252" s="4" t="s">
        <v>204</v>
      </c>
      <c r="I252" s="4" t="s">
        <v>212</v>
      </c>
      <c r="J252" s="4" t="s">
        <v>195</v>
      </c>
      <c r="K252" s="4" t="s">
        <v>196</v>
      </c>
    </row>
    <row r="253" spans="1:11" ht="15.75" customHeight="1" x14ac:dyDescent="0.25">
      <c r="A253" s="4" t="s">
        <v>193</v>
      </c>
      <c r="B253" s="4" t="s">
        <v>486</v>
      </c>
      <c r="C253" s="4" t="s">
        <v>452</v>
      </c>
      <c r="E253" s="4">
        <v>1</v>
      </c>
      <c r="F253" s="4">
        <v>1</v>
      </c>
      <c r="G253" s="4" t="s">
        <v>199</v>
      </c>
      <c r="H253" s="4" t="s">
        <v>229</v>
      </c>
      <c r="I253" s="4" t="s">
        <v>230</v>
      </c>
      <c r="J253" s="4" t="s">
        <v>195</v>
      </c>
      <c r="K253" s="4" t="s">
        <v>196</v>
      </c>
    </row>
    <row r="254" spans="1:11" ht="15.75" customHeight="1" x14ac:dyDescent="0.25">
      <c r="A254" s="4" t="s">
        <v>193</v>
      </c>
      <c r="B254" s="4" t="s">
        <v>487</v>
      </c>
      <c r="C254" s="4" t="s">
        <v>209</v>
      </c>
      <c r="E254" s="4">
        <v>1</v>
      </c>
      <c r="F254" s="4">
        <v>1</v>
      </c>
      <c r="G254" s="4" t="s">
        <v>199</v>
      </c>
      <c r="H254" s="4" t="s">
        <v>204</v>
      </c>
      <c r="I254" s="4" t="s">
        <v>210</v>
      </c>
      <c r="J254" s="4" t="s">
        <v>195</v>
      </c>
      <c r="K254" s="4" t="s">
        <v>196</v>
      </c>
    </row>
    <row r="255" spans="1:11" ht="15.75" customHeight="1" x14ac:dyDescent="0.25">
      <c r="A255" s="4" t="s">
        <v>193</v>
      </c>
      <c r="B255" s="4" t="s">
        <v>488</v>
      </c>
      <c r="C255" s="4" t="s">
        <v>209</v>
      </c>
      <c r="E255" s="4">
        <v>1</v>
      </c>
      <c r="F255" s="4">
        <v>1</v>
      </c>
      <c r="G255" s="4" t="s">
        <v>199</v>
      </c>
      <c r="H255" s="4" t="s">
        <v>204</v>
      </c>
      <c r="I255" s="4" t="s">
        <v>216</v>
      </c>
      <c r="J255" s="4" t="s">
        <v>195</v>
      </c>
      <c r="K255" s="4" t="s">
        <v>196</v>
      </c>
    </row>
    <row r="256" spans="1:11" ht="15.75" customHeight="1" x14ac:dyDescent="0.25">
      <c r="A256" s="4" t="s">
        <v>193</v>
      </c>
      <c r="B256" s="4" t="s">
        <v>489</v>
      </c>
      <c r="C256" s="4" t="s">
        <v>209</v>
      </c>
      <c r="E256" s="4">
        <v>1</v>
      </c>
      <c r="F256" s="4">
        <v>1</v>
      </c>
      <c r="G256" s="4" t="s">
        <v>199</v>
      </c>
      <c r="H256" s="4" t="s">
        <v>204</v>
      </c>
      <c r="I256" s="4" t="s">
        <v>206</v>
      </c>
      <c r="J256" s="4" t="s">
        <v>195</v>
      </c>
      <c r="K256" s="4" t="s">
        <v>196</v>
      </c>
    </row>
    <row r="257" spans="1:11" ht="15.75" customHeight="1" x14ac:dyDescent="0.25">
      <c r="A257" s="4" t="s">
        <v>193</v>
      </c>
      <c r="B257" s="4" t="s">
        <v>490</v>
      </c>
      <c r="C257" s="4" t="s">
        <v>209</v>
      </c>
      <c r="E257" s="4">
        <v>1</v>
      </c>
      <c r="F257" s="4">
        <v>1</v>
      </c>
      <c r="G257" s="4" t="s">
        <v>199</v>
      </c>
      <c r="H257" s="4" t="s">
        <v>204</v>
      </c>
      <c r="I257" s="4" t="s">
        <v>210</v>
      </c>
      <c r="J257" s="4" t="s">
        <v>195</v>
      </c>
      <c r="K257" s="4" t="s">
        <v>196</v>
      </c>
    </row>
    <row r="258" spans="1:11" ht="15.75" customHeight="1" x14ac:dyDescent="0.25">
      <c r="A258" s="4" t="s">
        <v>193</v>
      </c>
      <c r="B258" s="4" t="s">
        <v>491</v>
      </c>
      <c r="C258" s="4" t="s">
        <v>209</v>
      </c>
      <c r="E258" s="4">
        <v>1</v>
      </c>
      <c r="F258" s="4">
        <v>1</v>
      </c>
      <c r="G258" s="4" t="s">
        <v>199</v>
      </c>
      <c r="H258" s="4" t="s">
        <v>200</v>
      </c>
      <c r="I258" s="4" t="s">
        <v>206</v>
      </c>
      <c r="J258" s="4" t="s">
        <v>195</v>
      </c>
      <c r="K258" s="4" t="s">
        <v>196</v>
      </c>
    </row>
    <row r="259" spans="1:11" ht="15.75" customHeight="1" x14ac:dyDescent="0.25">
      <c r="A259" s="4" t="s">
        <v>193</v>
      </c>
      <c r="B259" s="4" t="s">
        <v>492</v>
      </c>
      <c r="C259" s="4" t="s">
        <v>452</v>
      </c>
      <c r="E259" s="4">
        <v>1</v>
      </c>
      <c r="F259" s="4">
        <v>1</v>
      </c>
      <c r="G259" s="4" t="s">
        <v>199</v>
      </c>
      <c r="H259" s="4" t="s">
        <v>200</v>
      </c>
      <c r="I259" s="4" t="s">
        <v>201</v>
      </c>
      <c r="J259" s="4" t="s">
        <v>195</v>
      </c>
      <c r="K259" s="4" t="s">
        <v>196</v>
      </c>
    </row>
    <row r="260" spans="1:11" ht="15.75" customHeight="1" x14ac:dyDescent="0.25">
      <c r="A260" s="4" t="s">
        <v>193</v>
      </c>
      <c r="B260" s="4" t="s">
        <v>493</v>
      </c>
      <c r="C260" s="4" t="s">
        <v>452</v>
      </c>
      <c r="E260" s="4">
        <v>1</v>
      </c>
      <c r="F260" s="4">
        <v>1</v>
      </c>
      <c r="G260" s="4" t="s">
        <v>199</v>
      </c>
      <c r="H260" s="4" t="s">
        <v>204</v>
      </c>
      <c r="I260" s="4" t="s">
        <v>201</v>
      </c>
      <c r="J260" s="4" t="s">
        <v>195</v>
      </c>
      <c r="K260" s="4" t="s">
        <v>196</v>
      </c>
    </row>
    <row r="261" spans="1:11" ht="15.75" customHeight="1" x14ac:dyDescent="0.25">
      <c r="A261" s="4" t="s">
        <v>193</v>
      </c>
      <c r="B261" s="4" t="s">
        <v>494</v>
      </c>
      <c r="C261" s="4" t="s">
        <v>452</v>
      </c>
      <c r="E261" s="4">
        <v>1</v>
      </c>
      <c r="F261" s="4">
        <v>1</v>
      </c>
      <c r="G261" s="4" t="s">
        <v>199</v>
      </c>
      <c r="H261" s="4" t="s">
        <v>204</v>
      </c>
      <c r="I261" s="4" t="s">
        <v>210</v>
      </c>
      <c r="J261" s="4" t="s">
        <v>195</v>
      </c>
      <c r="K261" s="4" t="s">
        <v>196</v>
      </c>
    </row>
    <row r="262" spans="1:11" ht="15.75" customHeight="1" x14ac:dyDescent="0.25">
      <c r="A262" s="4" t="s">
        <v>193</v>
      </c>
      <c r="B262" s="4" t="s">
        <v>495</v>
      </c>
      <c r="C262" s="4" t="s">
        <v>452</v>
      </c>
      <c r="E262" s="4">
        <v>1</v>
      </c>
      <c r="F262" s="4">
        <v>1</v>
      </c>
      <c r="G262" s="4" t="s">
        <v>199</v>
      </c>
      <c r="H262" s="4" t="s">
        <v>204</v>
      </c>
      <c r="I262" s="4" t="s">
        <v>248</v>
      </c>
      <c r="J262" s="4" t="s">
        <v>195</v>
      </c>
      <c r="K262" s="4" t="s">
        <v>196</v>
      </c>
    </row>
    <row r="263" spans="1:11" ht="15.75" customHeight="1" x14ac:dyDescent="0.25">
      <c r="A263" s="4" t="s">
        <v>193</v>
      </c>
      <c r="B263" s="4" t="s">
        <v>496</v>
      </c>
      <c r="C263" s="4" t="s">
        <v>452</v>
      </c>
      <c r="E263" s="4">
        <v>1</v>
      </c>
      <c r="F263" s="4">
        <v>1</v>
      </c>
      <c r="G263" s="4" t="s">
        <v>199</v>
      </c>
      <c r="H263" s="4" t="s">
        <v>204</v>
      </c>
      <c r="I263" s="4" t="s">
        <v>248</v>
      </c>
      <c r="J263" s="4" t="s">
        <v>195</v>
      </c>
      <c r="K263" s="4" t="s">
        <v>196</v>
      </c>
    </row>
    <row r="264" spans="1:11" ht="15.75" customHeight="1" x14ac:dyDescent="0.25">
      <c r="A264" s="4" t="s">
        <v>193</v>
      </c>
      <c r="B264" s="4" t="s">
        <v>497</v>
      </c>
      <c r="C264" s="4" t="s">
        <v>452</v>
      </c>
      <c r="E264" s="4">
        <v>1</v>
      </c>
      <c r="F264" s="4">
        <v>1</v>
      </c>
      <c r="G264" s="4" t="s">
        <v>199</v>
      </c>
      <c r="H264" s="4" t="s">
        <v>204</v>
      </c>
      <c r="I264" s="4" t="s">
        <v>248</v>
      </c>
      <c r="J264" s="4" t="s">
        <v>195</v>
      </c>
      <c r="K264" s="4" t="s">
        <v>196</v>
      </c>
    </row>
    <row r="265" spans="1:11" ht="15.75" customHeight="1" x14ac:dyDescent="0.25">
      <c r="A265" s="4" t="s">
        <v>193</v>
      </c>
      <c r="B265" s="4" t="s">
        <v>498</v>
      </c>
      <c r="C265" s="4" t="s">
        <v>452</v>
      </c>
      <c r="E265" s="4">
        <v>1</v>
      </c>
      <c r="F265" s="4">
        <v>1</v>
      </c>
      <c r="G265" s="4" t="s">
        <v>199</v>
      </c>
      <c r="H265" s="4" t="s">
        <v>204</v>
      </c>
      <c r="I265" s="4" t="s">
        <v>248</v>
      </c>
      <c r="J265" s="4" t="s">
        <v>195</v>
      </c>
      <c r="K265" s="4" t="s">
        <v>196</v>
      </c>
    </row>
    <row r="266" spans="1:11" ht="15.75" customHeight="1" x14ac:dyDescent="0.25">
      <c r="A266" s="4" t="s">
        <v>193</v>
      </c>
      <c r="B266" s="4" t="s">
        <v>499</v>
      </c>
      <c r="C266" s="4" t="s">
        <v>452</v>
      </c>
      <c r="E266" s="4">
        <v>1</v>
      </c>
      <c r="F266" s="4">
        <v>1</v>
      </c>
      <c r="G266" s="4" t="s">
        <v>199</v>
      </c>
      <c r="H266" s="4" t="s">
        <v>204</v>
      </c>
      <c r="I266" s="4" t="s">
        <v>248</v>
      </c>
      <c r="J266" s="4" t="s">
        <v>195</v>
      </c>
      <c r="K266" s="4" t="s">
        <v>196</v>
      </c>
    </row>
    <row r="267" spans="1:11" ht="15.75" customHeight="1" x14ac:dyDescent="0.25">
      <c r="A267" s="4" t="s">
        <v>193</v>
      </c>
      <c r="B267" s="4" t="s">
        <v>500</v>
      </c>
      <c r="C267" s="4" t="s">
        <v>452</v>
      </c>
      <c r="E267" s="4">
        <v>1</v>
      </c>
      <c r="F267" s="4">
        <v>1</v>
      </c>
      <c r="G267" s="4" t="s">
        <v>199</v>
      </c>
      <c r="H267" s="4" t="s">
        <v>204</v>
      </c>
      <c r="I267" s="4" t="s">
        <v>248</v>
      </c>
      <c r="J267" s="4" t="s">
        <v>195</v>
      </c>
      <c r="K267" s="4" t="s">
        <v>196</v>
      </c>
    </row>
    <row r="268" spans="1:11" ht="15.75" customHeight="1" x14ac:dyDescent="0.25">
      <c r="A268" s="4" t="s">
        <v>193</v>
      </c>
      <c r="B268" s="4" t="s">
        <v>501</v>
      </c>
      <c r="C268" s="4" t="s">
        <v>452</v>
      </c>
      <c r="E268" s="4">
        <v>1</v>
      </c>
      <c r="F268" s="4">
        <v>1</v>
      </c>
      <c r="G268" s="4" t="s">
        <v>199</v>
      </c>
      <c r="H268" s="4" t="s">
        <v>204</v>
      </c>
      <c r="I268" s="4" t="s">
        <v>248</v>
      </c>
      <c r="J268" s="4" t="s">
        <v>195</v>
      </c>
      <c r="K268" s="4" t="s">
        <v>196</v>
      </c>
    </row>
    <row r="269" spans="1:11" ht="15.75" customHeight="1" x14ac:dyDescent="0.25">
      <c r="A269" s="4" t="s">
        <v>193</v>
      </c>
      <c r="B269" s="4" t="s">
        <v>502</v>
      </c>
      <c r="C269" s="4" t="s">
        <v>452</v>
      </c>
      <c r="E269" s="4">
        <v>1</v>
      </c>
      <c r="F269" s="4">
        <v>1</v>
      </c>
      <c r="G269" s="4" t="s">
        <v>199</v>
      </c>
      <c r="H269" s="4" t="s">
        <v>204</v>
      </c>
      <c r="I269" s="4" t="s">
        <v>210</v>
      </c>
      <c r="J269" s="4" t="s">
        <v>195</v>
      </c>
      <c r="K269" s="4" t="s">
        <v>196</v>
      </c>
    </row>
    <row r="270" spans="1:11" ht="15.75" customHeight="1" x14ac:dyDescent="0.25">
      <c r="A270" s="4" t="s">
        <v>193</v>
      </c>
      <c r="B270" s="4" t="s">
        <v>503</v>
      </c>
      <c r="C270" s="4" t="s">
        <v>452</v>
      </c>
      <c r="E270" s="4">
        <v>1</v>
      </c>
      <c r="F270" s="4">
        <v>1</v>
      </c>
      <c r="G270" s="4" t="s">
        <v>199</v>
      </c>
      <c r="H270" s="4" t="s">
        <v>204</v>
      </c>
      <c r="I270" s="4" t="s">
        <v>248</v>
      </c>
      <c r="J270" s="4" t="s">
        <v>195</v>
      </c>
      <c r="K270" s="4" t="s">
        <v>196</v>
      </c>
    </row>
    <row r="271" spans="1:11" ht="15.75" customHeight="1" x14ac:dyDescent="0.25">
      <c r="A271" s="4" t="s">
        <v>193</v>
      </c>
      <c r="B271" s="4" t="s">
        <v>504</v>
      </c>
      <c r="C271" s="4" t="s">
        <v>452</v>
      </c>
      <c r="E271" s="4">
        <v>1</v>
      </c>
      <c r="F271" s="4">
        <v>1</v>
      </c>
      <c r="G271" s="4" t="s">
        <v>199</v>
      </c>
      <c r="H271" s="4" t="s">
        <v>204</v>
      </c>
      <c r="I271" s="4" t="s">
        <v>210</v>
      </c>
      <c r="J271" s="4" t="s">
        <v>195</v>
      </c>
      <c r="K271" s="4" t="s">
        <v>196</v>
      </c>
    </row>
    <row r="272" spans="1:11" ht="15.75" customHeight="1" x14ac:dyDescent="0.25">
      <c r="A272" s="4" t="s">
        <v>193</v>
      </c>
      <c r="B272" s="4" t="s">
        <v>505</v>
      </c>
      <c r="C272" s="4" t="s">
        <v>452</v>
      </c>
      <c r="E272" s="4">
        <v>1</v>
      </c>
      <c r="F272" s="4">
        <v>1</v>
      </c>
      <c r="G272" s="4" t="s">
        <v>199</v>
      </c>
      <c r="H272" s="4" t="s">
        <v>204</v>
      </c>
      <c r="I272" s="4" t="s">
        <v>248</v>
      </c>
      <c r="J272" s="4" t="s">
        <v>195</v>
      </c>
      <c r="K272" s="4" t="s">
        <v>196</v>
      </c>
    </row>
    <row r="273" spans="1:11" ht="15.75" customHeight="1" x14ac:dyDescent="0.25">
      <c r="A273" s="4" t="s">
        <v>193</v>
      </c>
      <c r="B273" s="4" t="s">
        <v>506</v>
      </c>
      <c r="C273" s="4" t="s">
        <v>452</v>
      </c>
      <c r="E273" s="4">
        <v>1</v>
      </c>
      <c r="F273" s="4">
        <v>1</v>
      </c>
      <c r="G273" s="4" t="s">
        <v>199</v>
      </c>
      <c r="H273" s="4" t="s">
        <v>204</v>
      </c>
      <c r="I273" s="4" t="s">
        <v>210</v>
      </c>
      <c r="J273" s="4" t="s">
        <v>195</v>
      </c>
      <c r="K273" s="4" t="s">
        <v>196</v>
      </c>
    </row>
    <row r="274" spans="1:11" ht="15.75" customHeight="1" x14ac:dyDescent="0.25">
      <c r="A274" s="4" t="s">
        <v>193</v>
      </c>
      <c r="B274" s="4" t="s">
        <v>507</v>
      </c>
      <c r="C274" s="4" t="s">
        <v>452</v>
      </c>
      <c r="E274" s="4">
        <v>1</v>
      </c>
      <c r="F274" s="4">
        <v>1</v>
      </c>
      <c r="G274" s="4" t="s">
        <v>199</v>
      </c>
      <c r="H274" s="4" t="s">
        <v>204</v>
      </c>
      <c r="I274" s="4" t="s">
        <v>248</v>
      </c>
      <c r="J274" s="4" t="s">
        <v>195</v>
      </c>
      <c r="K274" s="4" t="s">
        <v>196</v>
      </c>
    </row>
    <row r="275" spans="1:11" ht="15.75" customHeight="1" x14ac:dyDescent="0.25">
      <c r="A275" s="4" t="s">
        <v>193</v>
      </c>
      <c r="B275" s="4" t="s">
        <v>508</v>
      </c>
      <c r="C275" s="4" t="s">
        <v>452</v>
      </c>
      <c r="E275" s="4">
        <v>1</v>
      </c>
      <c r="F275" s="4">
        <v>1</v>
      </c>
      <c r="G275" s="4" t="s">
        <v>199</v>
      </c>
      <c r="H275" s="4" t="s">
        <v>204</v>
      </c>
      <c r="I275" s="4" t="s">
        <v>210</v>
      </c>
      <c r="J275" s="4" t="s">
        <v>195</v>
      </c>
      <c r="K275" s="4" t="s">
        <v>196</v>
      </c>
    </row>
    <row r="276" spans="1:11" ht="15.75" customHeight="1" x14ac:dyDescent="0.25">
      <c r="A276" s="4" t="s">
        <v>193</v>
      </c>
      <c r="B276" s="4" t="s">
        <v>509</v>
      </c>
      <c r="C276" s="4" t="s">
        <v>452</v>
      </c>
      <c r="E276" s="4">
        <v>1</v>
      </c>
      <c r="F276" s="4">
        <v>1</v>
      </c>
      <c r="G276" s="4" t="s">
        <v>199</v>
      </c>
      <c r="H276" s="4" t="s">
        <v>204</v>
      </c>
      <c r="I276" s="4" t="s">
        <v>210</v>
      </c>
      <c r="J276" s="4" t="s">
        <v>195</v>
      </c>
      <c r="K276" s="4" t="s">
        <v>196</v>
      </c>
    </row>
    <row r="277" spans="1:11" ht="15.75" customHeight="1" x14ac:dyDescent="0.25">
      <c r="A277" s="4" t="s">
        <v>193</v>
      </c>
      <c r="B277" s="4" t="s">
        <v>510</v>
      </c>
      <c r="C277" s="4" t="s">
        <v>452</v>
      </c>
      <c r="E277" s="4">
        <v>1</v>
      </c>
      <c r="F277" s="4">
        <v>1</v>
      </c>
      <c r="G277" s="4" t="s">
        <v>199</v>
      </c>
      <c r="H277" s="4" t="s">
        <v>204</v>
      </c>
      <c r="I277" s="4" t="s">
        <v>201</v>
      </c>
      <c r="J277" s="4" t="s">
        <v>195</v>
      </c>
      <c r="K277" s="4" t="s">
        <v>196</v>
      </c>
    </row>
    <row r="278" spans="1:11" ht="15.75" customHeight="1" x14ac:dyDescent="0.25">
      <c r="A278" s="4" t="s">
        <v>193</v>
      </c>
      <c r="B278" s="4" t="s">
        <v>511</v>
      </c>
      <c r="C278" s="4" t="s">
        <v>452</v>
      </c>
      <c r="E278" s="4">
        <v>1</v>
      </c>
      <c r="F278" s="4">
        <v>1</v>
      </c>
      <c r="G278" s="4" t="s">
        <v>199</v>
      </c>
      <c r="H278" s="4" t="s">
        <v>204</v>
      </c>
      <c r="I278" s="4" t="s">
        <v>248</v>
      </c>
      <c r="J278" s="4" t="s">
        <v>195</v>
      </c>
      <c r="K278" s="4" t="s">
        <v>196</v>
      </c>
    </row>
    <row r="279" spans="1:11" ht="15.75" customHeight="1" x14ac:dyDescent="0.25">
      <c r="A279" s="4" t="s">
        <v>193</v>
      </c>
      <c r="B279" s="4" t="s">
        <v>512</v>
      </c>
      <c r="C279" s="4" t="s">
        <v>452</v>
      </c>
      <c r="E279" s="4">
        <v>1</v>
      </c>
      <c r="F279" s="4">
        <v>1</v>
      </c>
      <c r="G279" s="4" t="s">
        <v>199</v>
      </c>
      <c r="H279" s="4" t="s">
        <v>204</v>
      </c>
      <c r="I279" s="4" t="s">
        <v>248</v>
      </c>
      <c r="J279" s="4" t="s">
        <v>195</v>
      </c>
      <c r="K279" s="4" t="s">
        <v>196</v>
      </c>
    </row>
    <row r="280" spans="1:11" ht="15.75" customHeight="1" x14ac:dyDescent="0.25">
      <c r="A280" s="4" t="s">
        <v>193</v>
      </c>
      <c r="B280" s="4" t="s">
        <v>513</v>
      </c>
      <c r="C280" s="4" t="s">
        <v>514</v>
      </c>
      <c r="E280" s="4">
        <v>1</v>
      </c>
      <c r="F280" s="4">
        <v>1</v>
      </c>
      <c r="G280" s="4" t="s">
        <v>199</v>
      </c>
      <c r="H280" s="4" t="s">
        <v>204</v>
      </c>
      <c r="I280" s="4" t="s">
        <v>225</v>
      </c>
      <c r="J280" s="4" t="s">
        <v>195</v>
      </c>
      <c r="K280" s="4" t="s">
        <v>196</v>
      </c>
    </row>
    <row r="281" spans="1:11" ht="15.75" customHeight="1" x14ac:dyDescent="0.25">
      <c r="A281" s="4" t="s">
        <v>193</v>
      </c>
      <c r="B281" s="4" t="s">
        <v>515</v>
      </c>
      <c r="C281" s="4" t="s">
        <v>514</v>
      </c>
      <c r="E281" s="4">
        <v>1</v>
      </c>
      <c r="F281" s="4">
        <v>1</v>
      </c>
      <c r="G281" s="4" t="s">
        <v>199</v>
      </c>
      <c r="H281" s="4" t="s">
        <v>204</v>
      </c>
      <c r="I281" s="4" t="s">
        <v>227</v>
      </c>
      <c r="J281" s="4" t="s">
        <v>195</v>
      </c>
      <c r="K281" s="4" t="s">
        <v>196</v>
      </c>
    </row>
    <row r="282" spans="1:11" ht="15.75" customHeight="1" x14ac:dyDescent="0.25">
      <c r="A282" s="4" t="s">
        <v>193</v>
      </c>
      <c r="B282" s="4" t="s">
        <v>516</v>
      </c>
      <c r="C282" s="4" t="s">
        <v>514</v>
      </c>
      <c r="E282" s="4">
        <v>1</v>
      </c>
      <c r="F282" s="4">
        <v>1</v>
      </c>
      <c r="G282" s="4" t="s">
        <v>199</v>
      </c>
      <c r="H282" s="4" t="s">
        <v>229</v>
      </c>
      <c r="I282" s="4" t="s">
        <v>230</v>
      </c>
      <c r="J282" s="4" t="s">
        <v>195</v>
      </c>
      <c r="K282" s="4" t="s">
        <v>196</v>
      </c>
    </row>
    <row r="283" spans="1:11" ht="15.75" customHeight="1" x14ac:dyDescent="0.25">
      <c r="A283" s="4" t="s">
        <v>193</v>
      </c>
      <c r="B283" s="4" t="s">
        <v>517</v>
      </c>
      <c r="C283" s="4" t="s">
        <v>514</v>
      </c>
      <c r="E283" s="4">
        <v>1</v>
      </c>
      <c r="F283" s="4">
        <v>1</v>
      </c>
      <c r="G283" s="4" t="s">
        <v>199</v>
      </c>
      <c r="H283" s="4" t="s">
        <v>204</v>
      </c>
      <c r="I283" s="4" t="s">
        <v>212</v>
      </c>
      <c r="J283" s="4" t="s">
        <v>195</v>
      </c>
      <c r="K283" s="4" t="s">
        <v>196</v>
      </c>
    </row>
    <row r="284" spans="1:11" ht="15.75" customHeight="1" x14ac:dyDescent="0.25">
      <c r="A284" s="4" t="s">
        <v>193</v>
      </c>
      <c r="B284" s="4" t="s">
        <v>518</v>
      </c>
      <c r="C284" s="4" t="s">
        <v>514</v>
      </c>
      <c r="E284" s="4">
        <v>1</v>
      </c>
      <c r="F284" s="4">
        <v>1</v>
      </c>
      <c r="G284" s="4" t="s">
        <v>199</v>
      </c>
      <c r="H284" s="4" t="s">
        <v>229</v>
      </c>
      <c r="I284" s="4" t="s">
        <v>230</v>
      </c>
      <c r="J284" s="4" t="s">
        <v>195</v>
      </c>
      <c r="K284" s="4" t="s">
        <v>196</v>
      </c>
    </row>
    <row r="285" spans="1:11" ht="15.75" customHeight="1" x14ac:dyDescent="0.25">
      <c r="A285" s="4" t="s">
        <v>193</v>
      </c>
      <c r="B285" s="4" t="s">
        <v>519</v>
      </c>
      <c r="C285" s="4" t="s">
        <v>520</v>
      </c>
      <c r="E285" s="4">
        <v>1</v>
      </c>
      <c r="F285" s="4">
        <v>1</v>
      </c>
      <c r="G285" s="4" t="s">
        <v>199</v>
      </c>
      <c r="H285" s="4" t="s">
        <v>204</v>
      </c>
      <c r="I285" s="4" t="s">
        <v>225</v>
      </c>
      <c r="J285" s="4" t="s">
        <v>195</v>
      </c>
      <c r="K285" s="4" t="s">
        <v>196</v>
      </c>
    </row>
    <row r="286" spans="1:11" ht="15.75" customHeight="1" x14ac:dyDescent="0.25">
      <c r="A286" s="4" t="s">
        <v>193</v>
      </c>
      <c r="B286" s="4" t="s">
        <v>521</v>
      </c>
      <c r="C286" s="4" t="s">
        <v>520</v>
      </c>
      <c r="E286" s="4">
        <v>1</v>
      </c>
      <c r="F286" s="4">
        <v>1</v>
      </c>
      <c r="G286" s="4" t="s">
        <v>199</v>
      </c>
      <c r="H286" s="4" t="s">
        <v>204</v>
      </c>
      <c r="I286" s="4" t="s">
        <v>227</v>
      </c>
      <c r="J286" s="4" t="s">
        <v>195</v>
      </c>
      <c r="K286" s="4" t="s">
        <v>196</v>
      </c>
    </row>
    <row r="287" spans="1:11" ht="15.75" customHeight="1" x14ac:dyDescent="0.25">
      <c r="A287" s="4" t="s">
        <v>193</v>
      </c>
      <c r="B287" s="4" t="s">
        <v>522</v>
      </c>
      <c r="C287" s="4" t="s">
        <v>520</v>
      </c>
      <c r="E287" s="4">
        <v>1</v>
      </c>
      <c r="F287" s="4">
        <v>1</v>
      </c>
      <c r="G287" s="4" t="s">
        <v>199</v>
      </c>
      <c r="H287" s="4" t="s">
        <v>229</v>
      </c>
      <c r="I287" s="4" t="s">
        <v>230</v>
      </c>
      <c r="J287" s="4" t="s">
        <v>195</v>
      </c>
      <c r="K287" s="4" t="s">
        <v>196</v>
      </c>
    </row>
    <row r="288" spans="1:11" ht="15.75" customHeight="1" x14ac:dyDescent="0.25">
      <c r="A288" s="4" t="s">
        <v>193</v>
      </c>
      <c r="B288" s="4" t="s">
        <v>523</v>
      </c>
      <c r="C288" s="4" t="s">
        <v>520</v>
      </c>
      <c r="E288" s="4">
        <v>1</v>
      </c>
      <c r="F288" s="4">
        <v>1</v>
      </c>
      <c r="G288" s="4" t="s">
        <v>199</v>
      </c>
      <c r="H288" s="4" t="s">
        <v>204</v>
      </c>
      <c r="I288" s="4" t="s">
        <v>212</v>
      </c>
      <c r="J288" s="4" t="s">
        <v>195</v>
      </c>
      <c r="K288" s="4" t="s">
        <v>196</v>
      </c>
    </row>
    <row r="289" spans="1:11" ht="15.75" customHeight="1" x14ac:dyDescent="0.25">
      <c r="A289" s="4" t="s">
        <v>193</v>
      </c>
      <c r="B289" s="4" t="s">
        <v>524</v>
      </c>
      <c r="C289" s="4" t="s">
        <v>520</v>
      </c>
      <c r="E289" s="4">
        <v>1</v>
      </c>
      <c r="F289" s="4">
        <v>1</v>
      </c>
      <c r="G289" s="4" t="s">
        <v>199</v>
      </c>
      <c r="H289" s="4" t="s">
        <v>229</v>
      </c>
      <c r="I289" s="4" t="s">
        <v>230</v>
      </c>
      <c r="J289" s="4" t="s">
        <v>195</v>
      </c>
      <c r="K289" s="4" t="s">
        <v>196</v>
      </c>
    </row>
    <row r="290" spans="1:11" ht="15.75" customHeight="1" x14ac:dyDescent="0.25">
      <c r="A290" s="4" t="s">
        <v>193</v>
      </c>
      <c r="B290" s="4" t="s">
        <v>525</v>
      </c>
      <c r="C290" s="4" t="s">
        <v>514</v>
      </c>
      <c r="E290" s="4">
        <v>1</v>
      </c>
      <c r="F290" s="4">
        <v>1</v>
      </c>
      <c r="G290" s="4" t="s">
        <v>199</v>
      </c>
      <c r="H290" s="4" t="s">
        <v>204</v>
      </c>
      <c r="I290" s="4" t="s">
        <v>206</v>
      </c>
      <c r="J290" s="4" t="s">
        <v>195</v>
      </c>
      <c r="K290" s="4" t="s">
        <v>196</v>
      </c>
    </row>
    <row r="291" spans="1:11" ht="15.75" customHeight="1" x14ac:dyDescent="0.25">
      <c r="A291" s="4" t="s">
        <v>193</v>
      </c>
      <c r="B291" s="4" t="s">
        <v>526</v>
      </c>
      <c r="C291" s="4" t="s">
        <v>514</v>
      </c>
      <c r="E291" s="4">
        <v>1</v>
      </c>
      <c r="F291" s="4">
        <v>1</v>
      </c>
      <c r="G291" s="4" t="s">
        <v>199</v>
      </c>
      <c r="H291" s="4" t="s">
        <v>204</v>
      </c>
      <c r="I291" s="4" t="s">
        <v>206</v>
      </c>
      <c r="J291" s="4" t="s">
        <v>195</v>
      </c>
      <c r="K291" s="4" t="s">
        <v>196</v>
      </c>
    </row>
    <row r="292" spans="1:11" ht="15.75" customHeight="1" x14ac:dyDescent="0.25">
      <c r="A292" s="4" t="s">
        <v>193</v>
      </c>
      <c r="B292" s="4" t="s">
        <v>527</v>
      </c>
      <c r="C292" s="4" t="s">
        <v>514</v>
      </c>
      <c r="E292" s="4">
        <v>1</v>
      </c>
      <c r="F292" s="4">
        <v>1</v>
      </c>
      <c r="G292" s="4" t="s">
        <v>199</v>
      </c>
      <c r="H292" s="4" t="s">
        <v>204</v>
      </c>
      <c r="I292" s="4" t="s">
        <v>225</v>
      </c>
      <c r="J292" s="4" t="s">
        <v>195</v>
      </c>
      <c r="K292" s="4" t="s">
        <v>196</v>
      </c>
    </row>
    <row r="293" spans="1:11" ht="15.75" customHeight="1" x14ac:dyDescent="0.25">
      <c r="A293" s="4" t="s">
        <v>193</v>
      </c>
      <c r="B293" s="4" t="s">
        <v>528</v>
      </c>
      <c r="C293" s="4" t="s">
        <v>514</v>
      </c>
      <c r="E293" s="4">
        <v>1</v>
      </c>
      <c r="F293" s="4">
        <v>1</v>
      </c>
      <c r="G293" s="4" t="s">
        <v>199</v>
      </c>
      <c r="H293" s="4" t="s">
        <v>204</v>
      </c>
      <c r="I293" s="4" t="s">
        <v>529</v>
      </c>
      <c r="J293" s="4" t="s">
        <v>195</v>
      </c>
      <c r="K293" s="4" t="s">
        <v>196</v>
      </c>
    </row>
    <row r="294" spans="1:11" ht="15.75" customHeight="1" x14ac:dyDescent="0.25">
      <c r="A294" s="4" t="s">
        <v>193</v>
      </c>
      <c r="B294" s="4" t="s">
        <v>530</v>
      </c>
      <c r="C294" s="4" t="s">
        <v>514</v>
      </c>
      <c r="E294" s="4">
        <v>1</v>
      </c>
      <c r="F294" s="4">
        <v>1</v>
      </c>
      <c r="G294" s="4" t="s">
        <v>199</v>
      </c>
      <c r="H294" s="4" t="s">
        <v>229</v>
      </c>
      <c r="I294" s="4" t="s">
        <v>230</v>
      </c>
      <c r="J294" s="4" t="s">
        <v>195</v>
      </c>
      <c r="K294" s="4" t="s">
        <v>196</v>
      </c>
    </row>
    <row r="295" spans="1:11" ht="15.75" customHeight="1" x14ac:dyDescent="0.25">
      <c r="A295" s="4" t="s">
        <v>193</v>
      </c>
      <c r="B295" s="4" t="s">
        <v>531</v>
      </c>
      <c r="C295" s="4" t="s">
        <v>514</v>
      </c>
      <c r="E295" s="4">
        <v>1</v>
      </c>
      <c r="F295" s="4">
        <v>1</v>
      </c>
      <c r="G295" s="4" t="s">
        <v>199</v>
      </c>
      <c r="H295" s="4" t="s">
        <v>204</v>
      </c>
      <c r="I295" s="4" t="s">
        <v>212</v>
      </c>
      <c r="J295" s="4" t="s">
        <v>195</v>
      </c>
      <c r="K295" s="4" t="s">
        <v>196</v>
      </c>
    </row>
    <row r="296" spans="1:11" ht="15.75" customHeight="1" x14ac:dyDescent="0.25">
      <c r="A296" s="4" t="s">
        <v>193</v>
      </c>
      <c r="B296" s="4" t="s">
        <v>532</v>
      </c>
      <c r="C296" s="4" t="s">
        <v>514</v>
      </c>
      <c r="E296" s="4">
        <v>1</v>
      </c>
      <c r="F296" s="4">
        <v>1</v>
      </c>
      <c r="G296" s="4" t="s">
        <v>199</v>
      </c>
      <c r="H296" s="4" t="s">
        <v>229</v>
      </c>
      <c r="I296" s="4" t="s">
        <v>230</v>
      </c>
      <c r="J296" s="4" t="s">
        <v>195</v>
      </c>
      <c r="K296" s="4" t="s">
        <v>196</v>
      </c>
    </row>
    <row r="297" spans="1:11" ht="15.75" customHeight="1" x14ac:dyDescent="0.25"/>
    <row r="298" spans="1:11" ht="15.75" customHeight="1" x14ac:dyDescent="0.25"/>
    <row r="299" spans="1:11" ht="15.75" customHeight="1" x14ac:dyDescent="0.25"/>
    <row r="300" spans="1:11" ht="15.75" customHeight="1" x14ac:dyDescent="0.25"/>
    <row r="301" spans="1:11" ht="15.75" customHeight="1" x14ac:dyDescent="0.25"/>
    <row r="302" spans="1:11" ht="15.75" customHeight="1" x14ac:dyDescent="0.25"/>
    <row r="303" spans="1:11" ht="15.75" customHeight="1" x14ac:dyDescent="0.25"/>
    <row r="304" spans="1:11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1" x14ac:dyDescent="0.25">
      <c r="A1" s="4" t="e">
        <f ca="1">_xludf.CONCAT('Todoist Out'!A4:O4)</f>
        <v>#NAME?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2" x14ac:dyDescent="0.25">
      <c r="A1" s="4" t="s">
        <v>533</v>
      </c>
      <c r="B1" s="4" t="s">
        <v>229</v>
      </c>
    </row>
    <row r="2" spans="1:2" x14ac:dyDescent="0.25">
      <c r="A2" s="4" t="s">
        <v>534</v>
      </c>
      <c r="B2" s="4" t="s">
        <v>200</v>
      </c>
    </row>
    <row r="3" spans="1:2" x14ac:dyDescent="0.25">
      <c r="A3" s="4" t="s">
        <v>535</v>
      </c>
      <c r="B3" s="4" t="s">
        <v>194</v>
      </c>
    </row>
    <row r="4" spans="1:2" x14ac:dyDescent="0.25">
      <c r="A4" s="4" t="s">
        <v>42</v>
      </c>
      <c r="B4" s="4" t="s">
        <v>204</v>
      </c>
    </row>
    <row r="5" spans="1:2" x14ac:dyDescent="0.25">
      <c r="A5" s="8" t="s">
        <v>14</v>
      </c>
      <c r="B5" s="8" t="s">
        <v>536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Weekly</vt:lpstr>
      <vt:lpstr>Rooms</vt:lpstr>
      <vt:lpstr>Tasks</vt:lpstr>
      <vt:lpstr>Supplies</vt:lpstr>
      <vt:lpstr>Todoist Out</vt:lpstr>
      <vt:lpstr>Todoist In</vt:lpstr>
      <vt:lpstr>Todoist Changes</vt:lpstr>
      <vt:lpstr>Workers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Gunn</dc:creator>
  <cp:lastModifiedBy>Kevin Gunn</cp:lastModifiedBy>
  <dcterms:created xsi:type="dcterms:W3CDTF">2026-01-21T19:09:22Z</dcterms:created>
  <dcterms:modified xsi:type="dcterms:W3CDTF">2026-04-05T00:20:45Z</dcterms:modified>
</cp:coreProperties>
</file>